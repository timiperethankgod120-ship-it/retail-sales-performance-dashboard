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Moses Omorogbe\Desktop\DA work DSC\"/>
    </mc:Choice>
  </mc:AlternateContent>
  <xr:revisionPtr revIDLastSave="0" documentId="13_ncr:1_{95F0412F-2D6E-4057-B2D8-C6C8DBA3F31F}" xr6:coauthVersionLast="47" xr6:coauthVersionMax="47" xr10:uidLastSave="{00000000-0000-0000-0000-000000000000}"/>
  <bookViews>
    <workbookView xWindow="-120" yWindow="-120" windowWidth="20730" windowHeight="11160" tabRatio="586" xr2:uid="{00000000-000D-0000-FFFF-FFFF00000000}"/>
  </bookViews>
  <sheets>
    <sheet name="SalesData" sheetId="1" r:id="rId1"/>
    <sheet name="Dashboatd_Plan" sheetId="3" r:id="rId2"/>
    <sheet name="pivot_Summary " sheetId="4" r:id="rId3"/>
    <sheet name="Dashboard" sheetId="7" r:id="rId4"/>
  </sheets>
  <definedNames>
    <definedName name="NativeTimeline_Date">#N/A</definedName>
    <definedName name="Slicer_Category">#N/A</definedName>
    <definedName name="Slicer_Payment_Method">#N/A</definedName>
    <definedName name="Slicer_Region">#N/A</definedName>
    <definedName name="Slicer_Salesperson">#N/A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7" l="1"/>
</calcChain>
</file>

<file path=xl/sharedStrings.xml><?xml version="1.0" encoding="utf-8"?>
<sst xmlns="http://schemas.openxmlformats.org/spreadsheetml/2006/main" count="1224" uniqueCount="258">
  <si>
    <t>Order ID</t>
  </si>
  <si>
    <t>Date</t>
  </si>
  <si>
    <t>Region</t>
  </si>
  <si>
    <t>Salesperson</t>
  </si>
  <si>
    <t>Product</t>
  </si>
  <si>
    <t>Category</t>
  </si>
  <si>
    <t>Quantity</t>
  </si>
  <si>
    <t>Unit Price</t>
  </si>
  <si>
    <t>Revenue</t>
  </si>
  <si>
    <t>Cost</t>
  </si>
  <si>
    <t>Profit</t>
  </si>
  <si>
    <t>Payment Method</t>
  </si>
  <si>
    <t>Status</t>
  </si>
  <si>
    <t>ORD-2026-00001</t>
  </si>
  <si>
    <t>Uyo</t>
  </si>
  <si>
    <t>Uche</t>
  </si>
  <si>
    <t>Mouse</t>
  </si>
  <si>
    <t>Accessories</t>
  </si>
  <si>
    <t>Transfer</t>
  </si>
  <si>
    <t>Completed</t>
  </si>
  <si>
    <t>ORD-2026-00002</t>
  </si>
  <si>
    <t>Lagos</t>
  </si>
  <si>
    <t>Tunde</t>
  </si>
  <si>
    <t>Standing Desk</t>
  </si>
  <si>
    <t>Home Office</t>
  </si>
  <si>
    <t>Returned</t>
  </si>
  <si>
    <t>ORD-2026-00003</t>
  </si>
  <si>
    <t>Bola</t>
  </si>
  <si>
    <t>Office Chair</t>
  </si>
  <si>
    <t>ORD-2026-00004</t>
  </si>
  <si>
    <t>Mariam</t>
  </si>
  <si>
    <t>POS</t>
  </si>
  <si>
    <t>Cancelled</t>
  </si>
  <si>
    <t>ORD-2026-00005</t>
  </si>
  <si>
    <t>Ibrahim</t>
  </si>
  <si>
    <t>Monitor 27</t>
  </si>
  <si>
    <t>Card</t>
  </si>
  <si>
    <t>ORD-2026-00006</t>
  </si>
  <si>
    <t>Enugu</t>
  </si>
  <si>
    <t>Ada</t>
  </si>
  <si>
    <t>ORD-2026-00007</t>
  </si>
  <si>
    <t>Kunle</t>
  </si>
  <si>
    <t>Router</t>
  </si>
  <si>
    <t>Networking</t>
  </si>
  <si>
    <t>ORD-2026-00008</t>
  </si>
  <si>
    <t>Kano</t>
  </si>
  <si>
    <t>Chika</t>
  </si>
  <si>
    <t>Keyboard</t>
  </si>
  <si>
    <t>ORD-2026-00009</t>
  </si>
  <si>
    <t>Calabar</t>
  </si>
  <si>
    <t>Cash</t>
  </si>
  <si>
    <t>ORD-2026-00010</t>
  </si>
  <si>
    <t>Ibadan</t>
  </si>
  <si>
    <t>Headset</t>
  </si>
  <si>
    <t>ORD-2026-00011</t>
  </si>
  <si>
    <t>Nneka</t>
  </si>
  <si>
    <t>ORD-2026-00012</t>
  </si>
  <si>
    <t>Sade</t>
  </si>
  <si>
    <t>ORD-2026-00013</t>
  </si>
  <si>
    <t>Laptop Pro 14</t>
  </si>
  <si>
    <t>Electronics</t>
  </si>
  <si>
    <t>ORD-2026-00014</t>
  </si>
  <si>
    <t>Port Harcourt</t>
  </si>
  <si>
    <t>ORD-2026-00015</t>
  </si>
  <si>
    <t>ORD-2026-00016</t>
  </si>
  <si>
    <t>ORD-2026-00017</t>
  </si>
  <si>
    <t>Barcode Scanner</t>
  </si>
  <si>
    <t>Business Tools</t>
  </si>
  <si>
    <t>ORD-2026-00018</t>
  </si>
  <si>
    <t>Abuja</t>
  </si>
  <si>
    <t>Printer</t>
  </si>
  <si>
    <t>ORD-2026-00019</t>
  </si>
  <si>
    <t>ORD-2026-00020</t>
  </si>
  <si>
    <t>Laptop Air 13</t>
  </si>
  <si>
    <t>ORD-2026-00021</t>
  </si>
  <si>
    <t>Pending</t>
  </si>
  <si>
    <t>ORD-2026-00022</t>
  </si>
  <si>
    <t>ORD-2026-00023</t>
  </si>
  <si>
    <t>ORD-2026-00024</t>
  </si>
  <si>
    <t>ORD-2026-00025</t>
  </si>
  <si>
    <t>ORD-2026-00026</t>
  </si>
  <si>
    <t>ORD-2026-00027</t>
  </si>
  <si>
    <t>Webcam</t>
  </si>
  <si>
    <t>ORD-2026-00028</t>
  </si>
  <si>
    <t>ORD-2026-00029</t>
  </si>
  <si>
    <t>ORD-2026-00030</t>
  </si>
  <si>
    <t>POS Terminal</t>
  </si>
  <si>
    <t>ORD-2026-00031</t>
  </si>
  <si>
    <t>Android Phone</t>
  </si>
  <si>
    <t>ORD-2026-00032</t>
  </si>
  <si>
    <t>ORD-2026-00033</t>
  </si>
  <si>
    <t>ORD-2026-00034</t>
  </si>
  <si>
    <t>ORD-2026-00035</t>
  </si>
  <si>
    <t>ORD-2026-00036</t>
  </si>
  <si>
    <t>ORD-2026-00037</t>
  </si>
  <si>
    <t>ORD-2026-00038</t>
  </si>
  <si>
    <t>ORD-2026-00039</t>
  </si>
  <si>
    <t>ORD-2026-00040</t>
  </si>
  <si>
    <t>ORD-2026-00041</t>
  </si>
  <si>
    <t>ORD-2026-00042</t>
  </si>
  <si>
    <t>Tablet 10</t>
  </si>
  <si>
    <t>ORD-2026-00043</t>
  </si>
  <si>
    <t>ORD-2026-00044</t>
  </si>
  <si>
    <t>ORD-2026-00045</t>
  </si>
  <si>
    <t>ORD-2026-00046</t>
  </si>
  <si>
    <t>ORD-2026-00047</t>
  </si>
  <si>
    <t>ORD-2026-00048</t>
  </si>
  <si>
    <t>ORD-2026-00049</t>
  </si>
  <si>
    <t>ORD-2026-00050</t>
  </si>
  <si>
    <t>ORD-2026-00051</t>
  </si>
  <si>
    <t>ORD-2026-00052</t>
  </si>
  <si>
    <t>ORD-2026-00053</t>
  </si>
  <si>
    <t>ORD-2026-00054</t>
  </si>
  <si>
    <t>ORD-2026-00055</t>
  </si>
  <si>
    <t>ORD-2026-00056</t>
  </si>
  <si>
    <t>ORD-2026-00057</t>
  </si>
  <si>
    <t>Monitor 24</t>
  </si>
  <si>
    <t>ORD-2026-00058</t>
  </si>
  <si>
    <t>ORD-2026-00059</t>
  </si>
  <si>
    <t>ORD-2026-00060</t>
  </si>
  <si>
    <t>ORD-2026-00061</t>
  </si>
  <si>
    <t>ORD-2026-00062</t>
  </si>
  <si>
    <t>ORD-2026-00063</t>
  </si>
  <si>
    <t>ORD-2026-00064</t>
  </si>
  <si>
    <t>ORD-2026-00065</t>
  </si>
  <si>
    <t>ORD-2026-00066</t>
  </si>
  <si>
    <t>ORD-2026-00067</t>
  </si>
  <si>
    <t>ORD-2026-00068</t>
  </si>
  <si>
    <t>ORD-2026-00069</t>
  </si>
  <si>
    <t>ORD-2026-00070</t>
  </si>
  <si>
    <t>ORD-2026-00071</t>
  </si>
  <si>
    <t>ORD-2026-00072</t>
  </si>
  <si>
    <t>ORD-2026-00073</t>
  </si>
  <si>
    <t>ORD-2026-00074</t>
  </si>
  <si>
    <t>ORD-2026-00075</t>
  </si>
  <si>
    <t>ORD-2026-00076</t>
  </si>
  <si>
    <t>ORD-2026-00077</t>
  </si>
  <si>
    <t>ORD-2026-00078</t>
  </si>
  <si>
    <t>ORD-2026-00079</t>
  </si>
  <si>
    <t>ORD-2026-00080</t>
  </si>
  <si>
    <t>ORD-2026-00081</t>
  </si>
  <si>
    <t>ORD-2026-00082</t>
  </si>
  <si>
    <t>ORD-2026-00083</t>
  </si>
  <si>
    <t>ORD-2026-00084</t>
  </si>
  <si>
    <t>ORD-2026-00085</t>
  </si>
  <si>
    <t>ORD-2026-00086</t>
  </si>
  <si>
    <t>ORD-2026-00087</t>
  </si>
  <si>
    <t>ORD-2026-00088</t>
  </si>
  <si>
    <t>ORD-2026-00089</t>
  </si>
  <si>
    <t>ORD-2026-00090</t>
  </si>
  <si>
    <t>ORD-2026-00091</t>
  </si>
  <si>
    <t>ORD-2026-00092</t>
  </si>
  <si>
    <t>ORD-2026-00093</t>
  </si>
  <si>
    <t>ORD-2026-00094</t>
  </si>
  <si>
    <t>ORD-2026-00095</t>
  </si>
  <si>
    <t>ORD-2026-00096</t>
  </si>
  <si>
    <t>ORD-2026-00097</t>
  </si>
  <si>
    <t>ORD-2026-00098</t>
  </si>
  <si>
    <t>ORD-2026-00099</t>
  </si>
  <si>
    <t>ORD-2026-00100</t>
  </si>
  <si>
    <t>ORD-2026-00101</t>
  </si>
  <si>
    <t>ORD-2026-00102</t>
  </si>
  <si>
    <t>ORD-2026-00103</t>
  </si>
  <si>
    <t>ORD-2026-00104</t>
  </si>
  <si>
    <t>ORD-2026-00105</t>
  </si>
  <si>
    <t>ORD-2026-00106</t>
  </si>
  <si>
    <t>ORD-2026-00107</t>
  </si>
  <si>
    <t>ORD-2026-00108</t>
  </si>
  <si>
    <t>ORD-2026-00109</t>
  </si>
  <si>
    <t>ORD-2026-00110</t>
  </si>
  <si>
    <t>ORD-2026-00111</t>
  </si>
  <si>
    <t>ORD-2026-00112</t>
  </si>
  <si>
    <t>ORD-2026-00113</t>
  </si>
  <si>
    <t>ORD-2026-00114</t>
  </si>
  <si>
    <t>ORD-2026-00115</t>
  </si>
  <si>
    <t>ORD-2026-00116</t>
  </si>
  <si>
    <t>ORD-2026-00117</t>
  </si>
  <si>
    <t>ORD-2026-00118</t>
  </si>
  <si>
    <t>ORD-2026-00119</t>
  </si>
  <si>
    <t>ORD-2026-00120</t>
  </si>
  <si>
    <t>ORD-2026-00121</t>
  </si>
  <si>
    <t>ORD-2026-00122</t>
  </si>
  <si>
    <t>ORD-2026-00123</t>
  </si>
  <si>
    <t>ORD-2026-00124</t>
  </si>
  <si>
    <t>ORD-2026-00125</t>
  </si>
  <si>
    <t>ORD-2026-00126</t>
  </si>
  <si>
    <t>ORD-2026-00127</t>
  </si>
  <si>
    <t>ORD-2026-00128</t>
  </si>
  <si>
    <t>ORD-2026-00129</t>
  </si>
  <si>
    <t>ORD-2026-00130</t>
  </si>
  <si>
    <t>ORD-2026-00131</t>
  </si>
  <si>
    <t>ORD-2026-00132</t>
  </si>
  <si>
    <t>ORD-2026-00133</t>
  </si>
  <si>
    <t>ORD-2026-00134</t>
  </si>
  <si>
    <t>ORD-2026-00135</t>
  </si>
  <si>
    <t>ORD-2026-00136</t>
  </si>
  <si>
    <t>ORD-2026-00137</t>
  </si>
  <si>
    <t>ORD-2026-00138</t>
  </si>
  <si>
    <t>ORD-2026-00139</t>
  </si>
  <si>
    <t>ORD-2026-00140</t>
  </si>
  <si>
    <t>ORD-2026-00141</t>
  </si>
  <si>
    <t>ORD-2026-00142</t>
  </si>
  <si>
    <t>ORD-2026-00143</t>
  </si>
  <si>
    <t>ORD-2026-00144</t>
  </si>
  <si>
    <t>ORD-2026-00145</t>
  </si>
  <si>
    <t>ORD-2026-00146</t>
  </si>
  <si>
    <t>ORD-2026-00147</t>
  </si>
  <si>
    <t>ORD-2026-00148</t>
  </si>
  <si>
    <t>ORD-2026-00149</t>
  </si>
  <si>
    <t>ORD-2026-00150</t>
  </si>
  <si>
    <t>ORD-2026-00151</t>
  </si>
  <si>
    <t>ORD-2026-00152</t>
  </si>
  <si>
    <t>ORD-2026-00153</t>
  </si>
  <si>
    <t>ORD-2026-00154</t>
  </si>
  <si>
    <t>ORD-2026-00155</t>
  </si>
  <si>
    <t>ORD-2026-00156</t>
  </si>
  <si>
    <t>ORD-2026-00157</t>
  </si>
  <si>
    <t>ORD-2026-00158</t>
  </si>
  <si>
    <t>ORD-2026-00159</t>
  </si>
  <si>
    <t>ORD-2026-00160</t>
  </si>
  <si>
    <t>DashBoard Plan</t>
  </si>
  <si>
    <t>Row Labels</t>
  </si>
  <si>
    <t>Grand Total</t>
  </si>
  <si>
    <t>Total Quantity</t>
  </si>
  <si>
    <t xml:space="preserve"> Profit by Category</t>
  </si>
  <si>
    <t>Jan</t>
  </si>
  <si>
    <t>Feb</t>
  </si>
  <si>
    <t>Mar</t>
  </si>
  <si>
    <t>Apr</t>
  </si>
  <si>
    <t>May</t>
  </si>
  <si>
    <t>Jun</t>
  </si>
  <si>
    <t>Revenue by month</t>
  </si>
  <si>
    <t>The dashboard aim at tracking sales performance by revenue, profit, orders, quantity, region, category, saleperson, and date</t>
  </si>
  <si>
    <t xml:space="preserve"> Business KPIs </t>
  </si>
  <si>
    <t>The Dashboard aim at answering questions such as:</t>
  </si>
  <si>
    <t xml:space="preserve">what is the Total revenue for all completed transactions </t>
  </si>
  <si>
    <t xml:space="preserve">what is the total Profit </t>
  </si>
  <si>
    <t xml:space="preserve">what is the total quantity sold </t>
  </si>
  <si>
    <t>what is the number of orders</t>
  </si>
  <si>
    <t>what is profit margin</t>
  </si>
  <si>
    <t>what is the average order value</t>
  </si>
  <si>
    <t>what is the total revenue by region</t>
  </si>
  <si>
    <t>what is total profit by category</t>
  </si>
  <si>
    <t>monthly revenue trend</t>
  </si>
  <si>
    <t>total orders by salepersons</t>
  </si>
  <si>
    <t>top 5 product by revene</t>
  </si>
  <si>
    <t>Pivot summary statistics</t>
  </si>
  <si>
    <t>Revenue by Region</t>
  </si>
  <si>
    <t>order by salesperson</t>
  </si>
  <si>
    <t>Top five product by Revenue</t>
  </si>
  <si>
    <t xml:space="preserve"> </t>
  </si>
  <si>
    <t>Total Profit</t>
  </si>
  <si>
    <t>Number of Orders</t>
  </si>
  <si>
    <t>Sum of Profit Margin</t>
  </si>
  <si>
    <t>Sum of Revenue</t>
  </si>
  <si>
    <t>Average of Revenue</t>
  </si>
  <si>
    <t>Sum of Field1</t>
  </si>
  <si>
    <t>Revenue by Payment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</si>
</sst>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469]\ #,##0.00"/>
    <numFmt numFmtId="166" formatCode="&quot;$&quot;#,##0.00"/>
    <numFmt numFmtId="167" formatCode="\₦0,,&quot;m&quot;"/>
  </numFmts>
  <fonts count="10">
    <font>
      <sz val="11"/>
      <name val="Carlito"/>
    </font>
    <font>
      <b/>
      <sz val="11"/>
      <color rgb="FFFFFFFF"/>
      <name val="Carlito"/>
    </font>
    <font>
      <sz val="11"/>
      <color theme="1"/>
      <name val="Carlito"/>
    </font>
    <font>
      <b/>
      <sz val="11"/>
      <name val="Carlito"/>
    </font>
    <font>
      <b/>
      <sz val="28"/>
      <color theme="0"/>
      <name val="Carlito"/>
    </font>
    <font>
      <b/>
      <sz val="28"/>
      <color theme="0"/>
      <name val="Calibri"/>
      <family val="2"/>
      <scheme val="minor"/>
    </font>
    <font>
      <b/>
      <sz val="20"/>
      <color theme="0"/>
      <name val="Calibri"/>
      <family val="2"/>
      <scheme val="minor"/>
    </font>
    <font>
      <sz val="11"/>
      <color theme="2" tint="-0.499984740745262"/>
      <name val="Carlito"/>
    </font>
    <font>
      <sz val="26"/>
      <color theme="2" tint="-0.499984740745262"/>
      <name val="Carlito"/>
    </font>
    <font>
      <sz val="26"/>
      <name val="Carlito"/>
    </font>
  </fonts>
  <fills count="7">
    <fill>
      <patternFill patternType="none"/>
    </fill>
    <fill>
      <patternFill patternType="gray125"/>
    </fill>
    <fill>
      <patternFill patternType="solid">
        <fgColor rgb="FF123852"/>
      </patternFill>
    </fill>
    <fill>
      <patternFill patternType="solid">
        <fgColor theme="4" tint="0.79998168889431442"/>
        <bgColor theme="4" tint="0.79998168889431442"/>
      </patternFill>
    </fill>
    <fill>
      <patternFill patternType="solid">
        <fgColor rgb="FFC00000"/>
        <bgColor indexed="64"/>
      </patternFill>
    </fill>
    <fill>
      <patternFill patternType="solid">
        <fgColor theme="0" tint="-0.14999847407452621"/>
        <bgColor indexed="64"/>
      </patternFill>
    </fill>
    <fill>
      <patternFill patternType="solid">
        <fgColor theme="2"/>
        <bgColor indexed="64"/>
      </patternFill>
    </fill>
  </fills>
  <borders count="2">
    <border>
      <left/>
      <right/>
      <top/>
      <bottom/>
      <diagonal/>
    </border>
    <border>
      <left/>
      <right/>
      <top style="thin">
        <color theme="4" tint="0.39997558519241921"/>
      </top>
      <bottom/>
      <diagonal/>
    </border>
  </borders>
  <cellStyleXfs count="1">
    <xf numFmtId="0" fontId="0" fillId="0" borderId="0"/>
  </cellStyleXfs>
  <cellXfs count="29">
    <xf numFmtId="0" fontId="0" fillId="0" borderId="0" xfId="0"/>
    <xf numFmtId="0" fontId="2" fillId="3" borderId="1" xfId="0" applyFont="1" applyFill="1" applyBorder="1"/>
    <xf numFmtId="0" fontId="2" fillId="0" borderId="1" xfId="0" applyFont="1" applyBorder="1"/>
    <xf numFmtId="0" fontId="1" fillId="2" borderId="0" xfId="0" applyFont="1" applyFill="1" applyAlignment="1">
      <alignment horizontal="center" vertical="center" wrapText="1"/>
    </xf>
    <xf numFmtId="3" fontId="1" fillId="2" borderId="0" xfId="0" applyNumberFormat="1" applyFont="1" applyFill="1" applyAlignment="1">
      <alignment horizontal="center" vertical="center" wrapText="1"/>
    </xf>
    <xf numFmtId="164" fontId="1" fillId="2" borderId="0" xfId="0" applyNumberFormat="1" applyFont="1" applyFill="1" applyAlignment="1">
      <alignment horizontal="center" vertical="center" wrapText="1"/>
    </xf>
    <xf numFmtId="14" fontId="2" fillId="3" borderId="1" xfId="0" applyNumberFormat="1" applyFont="1" applyFill="1" applyBorder="1"/>
    <xf numFmtId="14" fontId="2" fillId="0" borderId="1" xfId="0" applyNumberFormat="1" applyFont="1" applyBorder="1"/>
    <xf numFmtId="14" fontId="1" fillId="2" borderId="0" xfId="0" applyNumberFormat="1" applyFont="1" applyFill="1" applyAlignment="1">
      <alignment horizontal="center" vertical="center" wrapText="1"/>
    </xf>
    <xf numFmtId="14" fontId="0" fillId="0" borderId="0" xfId="0" applyNumberFormat="1"/>
    <xf numFmtId="0" fontId="3" fillId="0" borderId="0" xfId="0" applyFont="1"/>
    <xf numFmtId="165" fontId="2" fillId="3" borderId="1" xfId="0" applyNumberFormat="1" applyFont="1" applyFill="1" applyBorder="1"/>
    <xf numFmtId="165" fontId="2" fillId="0" borderId="1" xfId="0" applyNumberFormat="1" applyFont="1" applyBorder="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4" fillId="4" borderId="0" xfId="0" applyFont="1" applyFill="1" applyAlignment="1">
      <alignment horizontal="centerContinuous"/>
    </xf>
    <xf numFmtId="0" fontId="5" fillId="4" borderId="0" xfId="0" applyFont="1" applyFill="1" applyAlignment="1">
      <alignment horizontal="centerContinuous" vertical="center"/>
    </xf>
    <xf numFmtId="0" fontId="6" fillId="4" borderId="0" xfId="0" applyFont="1" applyFill="1" applyAlignment="1">
      <alignment horizontal="centerContinuous"/>
    </xf>
    <xf numFmtId="167" fontId="3" fillId="0" borderId="0" xfId="0" applyNumberFormat="1" applyFont="1"/>
    <xf numFmtId="167" fontId="0" fillId="0" borderId="0" xfId="0" applyNumberFormat="1"/>
    <xf numFmtId="9" fontId="0" fillId="0" borderId="0" xfId="0" applyNumberFormat="1"/>
    <xf numFmtId="3" fontId="0" fillId="0" borderId="0" xfId="0" applyNumberFormat="1"/>
    <xf numFmtId="0" fontId="0" fillId="0" borderId="0" xfId="0" applyNumberFormat="1"/>
    <xf numFmtId="0" fontId="0" fillId="5" borderId="0" xfId="0" applyFill="1"/>
    <xf numFmtId="0" fontId="7" fillId="6" borderId="0" xfId="0" applyFont="1" applyFill="1"/>
    <xf numFmtId="0" fontId="8" fillId="5" borderId="0" xfId="0" applyFont="1" applyFill="1"/>
    <xf numFmtId="0" fontId="9" fillId="5" borderId="0" xfId="0" applyFont="1" applyFill="1"/>
  </cellXfs>
  <cellStyles count="1">
    <cellStyle name="Normal" xfId="0" builtinId="0"/>
  </cellStyles>
  <dxfs count="691">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67" formatCode="\₦0,,&quot;m&quot;"/>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67" formatCode="\₦0,,&quot;m&quot;"/>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67" formatCode="\₦0,,&quot;m&quot;"/>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67" formatCode="\₦0,,&quot;m&quot;"/>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67" formatCode="\₦0,,&quot;m&quot;"/>
    </dxf>
    <dxf>
      <numFmt numFmtId="13" formatCode="0%"/>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67" formatCode="\₦0,,&quot;m&quot;"/>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67" formatCode="\₦0,,&quot;m&quot;"/>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67" formatCode="\₦0,,&quot;m&quot;"/>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67" formatCode="\₦0,,&quot;m&quot;"/>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67" formatCode="\₦0,,&quot;m&quot;"/>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67" formatCode="\₦0,,&quot;m&quot;"/>
    </dxf>
    <dxf>
      <numFmt numFmtId="13" formatCode="0%"/>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67" formatCode="\₦0,,&quot;m&quot;"/>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67" formatCode="\₦0,,&quot;m&quot;"/>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67" formatCode="\₦0,,&quot;m&quot;"/>
    </dxf>
    <dxf>
      <numFmt numFmtId="13" formatCode="0%"/>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167" formatCode="\₦0,,&quot;m&quot;"/>
    </dxf>
    <dxf>
      <numFmt numFmtId="3" formatCode="#,##0"/>
    </dxf>
    <dxf>
      <numFmt numFmtId="13" formatCode="0%"/>
    </dxf>
    <dxf>
      <numFmt numFmtId="167" formatCode="\₦0,,&quot;m&quot;"/>
    </dxf>
    <dxf>
      <numFmt numFmtId="167" formatCode="\₦0,,&quot;m&quot;"/>
    </dxf>
    <dxf>
      <numFmt numFmtId="167" formatCode="\₦0,,&quot;m&quot;"/>
    </dxf>
    <dxf>
      <numFmt numFmtId="167" formatCode="\₦0,,&quot;m&quot;"/>
    </dxf>
    <dxf>
      <font>
        <b val="0"/>
        <i val="0"/>
        <strike val="0"/>
        <condense val="0"/>
        <extend val="0"/>
        <outline val="0"/>
        <shadow val="0"/>
        <u val="none"/>
        <vertAlign val="baseline"/>
        <sz val="11"/>
        <color theme="1"/>
        <name val="Carlito"/>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numFmt numFmtId="165" formatCode="[$₦-469]\ #,##0.0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numFmt numFmtId="165" formatCode="[$₦-469]\ #,##0.0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numFmt numFmtId="165" formatCode="[$₦-469]\ #,##0.0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numFmt numFmtId="165" formatCode="[$₦-469]\ #,##0.0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numFmt numFmtId="19" formatCode="m/d/yyyy"/>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rlito"/>
        <scheme val="none"/>
      </font>
    </dxf>
    <dxf>
      <font>
        <b/>
        <i val="0"/>
        <strike val="0"/>
        <condense val="0"/>
        <extend val="0"/>
        <outline val="0"/>
        <shadow val="0"/>
        <u val="none"/>
        <vertAlign val="baseline"/>
        <sz val="11"/>
        <color rgb="FFFFFFFF"/>
        <name val="Carlito"/>
        <scheme val="none"/>
      </font>
      <numFmt numFmtId="164" formatCode="\₦#,##0"/>
      <fill>
        <patternFill patternType="solid">
          <fgColor indexed="64"/>
          <bgColor rgb="FF123852"/>
        </patternFill>
      </fill>
      <alignment horizontal="center" vertical="center" textRotation="0" wrapText="1" indent="0" justifyLastLine="0" shrinkToFit="0" readingOrder="0"/>
    </dxf>
  </dxfs>
  <tableStyles count="0" defaultTableStyle="TableStyleMedium2" defaultPivotStyle="PivotStyleLight16"/>
  <colors>
    <mruColors>
      <color rgb="FFE0A458"/>
      <color rgb="FFC73E4D"/>
      <color rgb="FF1F7A8C"/>
      <color rgb="FF163A5F"/>
      <color rgb="FF9AA3B3"/>
      <color rgb="FFFFC5A8"/>
      <color rgb="FF69790B"/>
      <color rgb="FFFF0000"/>
      <color rgb="FFC525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[ThankGod Austin Excell_Dasboard_Activity.xlsx]pivot_Summary !PivotTable6</c:name>
    <c:fmtId val="19"/>
  </c:pivotSource>
  <c:chart>
    <c:title>
      <c:tx>
        <c:rich>
          <a:bodyPr rot="0" spcFirstLastPara="1" vertOverflow="ellipsis" vert="horz" wrap="square" anchor="ctr" anchorCtr="1"/>
          <a:lstStyle/>
          <a:p>
            <a:pPr>
              <a:defRPr sz="1400" b="1" i="0" u="none" strike="noStrike" kern="1200" spc="0" baseline="0">
                <a:solidFill>
                  <a:schemeClr val="tx1"/>
                </a:solidFill>
                <a:latin typeface="Calibri" panose="020F0502020204030204" pitchFamily="34" charset="0"/>
                <a:ea typeface="+mn-ea"/>
                <a:cs typeface="+mn-cs"/>
              </a:defRPr>
            </a:pPr>
            <a:r>
              <a:rPr lang="en-US" sz="1400" b="1" i="0" baseline="0">
                <a:solidFill>
                  <a:schemeClr val="tx1"/>
                </a:solidFill>
                <a:latin typeface="Calibri" panose="020F0502020204030204" pitchFamily="34" charset="0"/>
              </a:rPr>
              <a:t>Revenue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Calibri" panose="020F0502020204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tx2">
                  <a:lumMod val="90000"/>
                  <a:lumOff val="10000"/>
                  <a:tint val="66000"/>
                  <a:satMod val="160000"/>
                </a:schemeClr>
              </a:gs>
              <a:gs pos="50000">
                <a:schemeClr val="tx2">
                  <a:lumMod val="90000"/>
                  <a:lumOff val="10000"/>
                  <a:tint val="44500"/>
                  <a:satMod val="160000"/>
                </a:schemeClr>
              </a:gs>
              <a:gs pos="100000">
                <a:schemeClr val="tx2">
                  <a:lumMod val="90000"/>
                  <a:lumOff val="10000"/>
                  <a:tint val="23500"/>
                  <a:satMod val="160000"/>
                </a:schemeClr>
              </a:gs>
            </a:gsLst>
            <a:path path="circle">
              <a:fillToRect l="100000" b="100000"/>
            </a:path>
            <a:tileRect t="-100000" r="-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tx2">
                  <a:lumMod val="90000"/>
                  <a:lumOff val="10000"/>
                  <a:tint val="66000"/>
                  <a:satMod val="160000"/>
                </a:schemeClr>
              </a:gs>
              <a:gs pos="50000">
                <a:schemeClr val="tx2">
                  <a:lumMod val="90000"/>
                  <a:lumOff val="10000"/>
                  <a:tint val="44500"/>
                  <a:satMod val="160000"/>
                </a:schemeClr>
              </a:gs>
              <a:gs pos="100000">
                <a:schemeClr val="tx2">
                  <a:lumMod val="90000"/>
                  <a:lumOff val="10000"/>
                  <a:tint val="23500"/>
                  <a:satMod val="160000"/>
                </a:schemeClr>
              </a:gs>
            </a:gsLst>
            <a:path path="circle">
              <a:fillToRect l="100000" b="100000"/>
            </a:path>
            <a:tileRect t="-100000" r="-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tx2">
                  <a:lumMod val="90000"/>
                  <a:lumOff val="10000"/>
                  <a:tint val="66000"/>
                  <a:satMod val="160000"/>
                </a:schemeClr>
              </a:gs>
              <a:gs pos="50000">
                <a:schemeClr val="tx2">
                  <a:lumMod val="90000"/>
                  <a:lumOff val="10000"/>
                  <a:tint val="44500"/>
                  <a:satMod val="160000"/>
                </a:schemeClr>
              </a:gs>
              <a:gs pos="100000">
                <a:schemeClr val="tx2">
                  <a:lumMod val="90000"/>
                  <a:lumOff val="10000"/>
                  <a:tint val="23500"/>
                  <a:satMod val="160000"/>
                </a:schemeClr>
              </a:gs>
            </a:gsLst>
            <a:path path="circle">
              <a:fillToRect l="100000" b="100000"/>
            </a:path>
            <a:tileRect t="-100000" r="-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tx2">
                  <a:lumMod val="90000"/>
                  <a:lumOff val="10000"/>
                  <a:tint val="66000"/>
                  <a:satMod val="160000"/>
                </a:schemeClr>
              </a:gs>
              <a:gs pos="50000">
                <a:schemeClr val="tx2">
                  <a:lumMod val="90000"/>
                  <a:lumOff val="10000"/>
                  <a:tint val="44500"/>
                  <a:satMod val="160000"/>
                </a:schemeClr>
              </a:gs>
              <a:gs pos="100000">
                <a:schemeClr val="tx2">
                  <a:lumMod val="90000"/>
                  <a:lumOff val="10000"/>
                  <a:tint val="23500"/>
                  <a:satMod val="160000"/>
                </a:schemeClr>
              </a:gs>
            </a:gsLst>
            <a:path path="circle">
              <a:fillToRect l="100000" b="100000"/>
            </a:path>
            <a:tileRect t="-100000" r="-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tx2">
                  <a:lumMod val="90000"/>
                  <a:lumOff val="10000"/>
                  <a:tint val="66000"/>
                  <a:satMod val="160000"/>
                </a:schemeClr>
              </a:gs>
              <a:gs pos="50000">
                <a:schemeClr val="tx2">
                  <a:lumMod val="90000"/>
                  <a:lumOff val="10000"/>
                  <a:tint val="44500"/>
                  <a:satMod val="160000"/>
                </a:schemeClr>
              </a:gs>
              <a:gs pos="100000">
                <a:schemeClr val="tx2">
                  <a:lumMod val="90000"/>
                  <a:lumOff val="10000"/>
                  <a:tint val="23500"/>
                  <a:satMod val="160000"/>
                </a:schemeClr>
              </a:gs>
            </a:gsLst>
            <a:path path="circle">
              <a:fillToRect l="100000" b="100000"/>
            </a:path>
            <a:tileRect t="-100000" r="-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79848514543467"/>
          <c:y val="0.1724098489083026"/>
          <c:w val="0.73052992089939273"/>
          <c:h val="0.73438385294844044"/>
        </c:manualLayout>
      </c:layout>
      <c:barChart>
        <c:barDir val="bar"/>
        <c:grouping val="clustered"/>
        <c:varyColors val="0"/>
        <c:ser>
          <c:idx val="0"/>
          <c:order val="0"/>
          <c:tx>
            <c:strRef>
              <c:f>'pivot_Summary '!$B$7</c:f>
              <c:strCache>
                <c:ptCount val="1"/>
                <c:pt idx="0">
                  <c:v>Total</c:v>
                </c:pt>
              </c:strCache>
            </c:strRef>
          </c:tx>
          <c:spPr>
            <a:gradFill flip="none" rotWithShape="1">
              <a:gsLst>
                <a:gs pos="0">
                  <a:schemeClr val="tx2">
                    <a:lumMod val="90000"/>
                    <a:lumOff val="10000"/>
                    <a:tint val="66000"/>
                    <a:satMod val="160000"/>
                  </a:schemeClr>
                </a:gs>
                <a:gs pos="50000">
                  <a:schemeClr val="tx2">
                    <a:lumMod val="90000"/>
                    <a:lumOff val="10000"/>
                    <a:tint val="44500"/>
                    <a:satMod val="160000"/>
                  </a:schemeClr>
                </a:gs>
                <a:gs pos="100000">
                  <a:schemeClr val="tx2">
                    <a:lumMod val="90000"/>
                    <a:lumOff val="10000"/>
                    <a:tint val="23500"/>
                    <a:satMod val="160000"/>
                  </a:schemeClr>
                </a:gs>
              </a:gsLst>
              <a:path path="circle">
                <a:fillToRect l="100000" b="100000"/>
              </a:path>
              <a:tileRect t="-100000" r="-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'pivot_Summary '!$A$8:$A$16</c:f>
              <c:strCache>
                <c:ptCount val="8"/>
                <c:pt idx="0">
                  <c:v>Lagos</c:v>
                </c:pt>
                <c:pt idx="1">
                  <c:v>Abuja</c:v>
                </c:pt>
                <c:pt idx="2">
                  <c:v>Port Harcourt</c:v>
                </c:pt>
                <c:pt idx="3">
                  <c:v>Ibadan</c:v>
                </c:pt>
                <c:pt idx="4">
                  <c:v>Uyo</c:v>
                </c:pt>
                <c:pt idx="5">
                  <c:v>Enugu</c:v>
                </c:pt>
                <c:pt idx="6">
                  <c:v>Calabar</c:v>
                </c:pt>
                <c:pt idx="7">
                  <c:v>Kano</c:v>
                </c:pt>
              </c:strCache>
            </c:strRef>
          </c:cat>
          <c:val>
            <c:numRef>
              <c:f>'pivot_Summary '!$B$8:$B$16</c:f>
              <c:numCache>
                <c:formatCode>\₦0,,"m"</c:formatCode>
                <c:ptCount val="8"/>
                <c:pt idx="0">
                  <c:v>27299400</c:v>
                </c:pt>
                <c:pt idx="1">
                  <c:v>11116000</c:v>
                </c:pt>
                <c:pt idx="2">
                  <c:v>10317900</c:v>
                </c:pt>
                <c:pt idx="3">
                  <c:v>9790600</c:v>
                </c:pt>
                <c:pt idx="4">
                  <c:v>5949900</c:v>
                </c:pt>
                <c:pt idx="5">
                  <c:v>5401900</c:v>
                </c:pt>
                <c:pt idx="6">
                  <c:v>5235600</c:v>
                </c:pt>
                <c:pt idx="7">
                  <c:v>1545300</c:v>
                </c:pt>
              </c:numCache>
            </c:numRef>
          </c:val>
          <c:extLst>
            <c:ext xmlns:c16="http://schemas.microsoft.com/office/drawing/2014/chart" uri="{C3380CC4-5D6E-409C-BE32-E72D297353CC}">
              <c16:uniqueId val="{00000000-3FA9-4933-BAA0-93262CEBCF21}"/>
            </c:ext>
          </c:extLst>
        </c:ser>
        <c:dLbls>
          <c:dLblPos val="outEnd"/>
          <c:showLegendKey val="0"/>
          <c:showVal val="1"/>
          <c:showCatName val="0"/>
          <c:showSerName val="0"/>
          <c:showPercent val="0"/>
          <c:showBubbleSize val="0"/>
        </c:dLbls>
        <c:gapWidth val="182"/>
        <c:axId val="726689151"/>
        <c:axId val="726692511"/>
      </c:barChart>
      <c:catAx>
        <c:axId val="7266891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726692511"/>
        <c:crosses val="autoZero"/>
        <c:auto val="1"/>
        <c:lblAlgn val="ctr"/>
        <c:lblOffset val="100"/>
        <c:noMultiLvlLbl val="0"/>
      </c:catAx>
      <c:valAx>
        <c:axId val="726692511"/>
        <c:scaling>
          <c:orientation val="minMax"/>
        </c:scaling>
        <c:delete val="1"/>
        <c:axPos val="b"/>
        <c:numFmt formatCode="\₦0,,&quot;m&quot;" sourceLinked="1"/>
        <c:majorTickMark val="out"/>
        <c:minorTickMark val="none"/>
        <c:tickLblPos val="nextTo"/>
        <c:crossAx val="726689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50000"/>
          <a:alpha val="9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[ThankGod Austin Excell_Dasboard_Activity.xlsx]pivot_Summary !PivotTable7</c:name>
    <c:fmtId val="2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Monthly</a:t>
            </a:r>
            <a:r>
              <a:rPr lang="en-US" baseline="0"/>
              <a:t> Revenue Trend </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28575" cap="rnd">
            <a:solidFill>
              <a:schemeClr val="accent3"/>
            </a:solidFill>
            <a:round/>
          </a:ln>
          <a:effectLst/>
        </c:spPr>
        <c:marker>
          <c:symbol val="circle"/>
          <c:size val="5"/>
          <c:spPr>
            <a:gradFill flip="none" rotWithShape="1">
              <a:gsLst>
                <a:gs pos="0">
                  <a:schemeClr val="accent3">
                    <a:lumMod val="60000"/>
                    <a:lumOff val="40000"/>
                    <a:tint val="66000"/>
                    <a:satMod val="160000"/>
                  </a:schemeClr>
                </a:gs>
                <a:gs pos="50000">
                  <a:schemeClr val="accent3">
                    <a:lumMod val="60000"/>
                    <a:lumOff val="40000"/>
                    <a:tint val="44500"/>
                    <a:satMod val="160000"/>
                  </a:schemeClr>
                </a:gs>
                <a:gs pos="100000">
                  <a:schemeClr val="accent3">
                    <a:lumMod val="60000"/>
                    <a:lumOff val="40000"/>
                    <a:tint val="23500"/>
                    <a:satMod val="160000"/>
                  </a:schemeClr>
                </a:gs>
              </a:gsLst>
              <a:lin ang="10800000" scaled="1"/>
              <a:tileRect/>
            </a:gra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w="28575" cap="rnd">
            <a:solidFill>
              <a:schemeClr val="accent3"/>
            </a:solidFill>
            <a:round/>
          </a:ln>
          <a:effectLst/>
        </c:spPr>
        <c:marker>
          <c:symbol val="circle"/>
          <c:size val="5"/>
          <c:spPr>
            <a:gradFill flip="none" rotWithShape="1">
              <a:gsLst>
                <a:gs pos="0">
                  <a:schemeClr val="accent3">
                    <a:lumMod val="60000"/>
                    <a:lumOff val="40000"/>
                    <a:tint val="66000"/>
                    <a:satMod val="160000"/>
                  </a:schemeClr>
                </a:gs>
                <a:gs pos="50000">
                  <a:schemeClr val="accent3">
                    <a:lumMod val="60000"/>
                    <a:lumOff val="40000"/>
                    <a:tint val="44500"/>
                    <a:satMod val="160000"/>
                  </a:schemeClr>
                </a:gs>
                <a:gs pos="100000">
                  <a:schemeClr val="accent3">
                    <a:lumMod val="60000"/>
                    <a:lumOff val="40000"/>
                    <a:tint val="23500"/>
                    <a:satMod val="160000"/>
                  </a:schemeClr>
                </a:gs>
              </a:gsLst>
              <a:lin ang="10800000" scaled="1"/>
              <a:tileRect/>
            </a:gra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w="28575" cap="rnd">
            <a:solidFill>
              <a:schemeClr val="accent3"/>
            </a:solidFill>
            <a:round/>
          </a:ln>
          <a:effectLst/>
        </c:spPr>
        <c:marker>
          <c:symbol val="circle"/>
          <c:size val="5"/>
          <c:spPr>
            <a:gradFill flip="none" rotWithShape="1">
              <a:gsLst>
                <a:gs pos="0">
                  <a:schemeClr val="accent3">
                    <a:lumMod val="60000"/>
                    <a:lumOff val="40000"/>
                    <a:tint val="66000"/>
                    <a:satMod val="160000"/>
                  </a:schemeClr>
                </a:gs>
                <a:gs pos="50000">
                  <a:schemeClr val="accent3">
                    <a:lumMod val="60000"/>
                    <a:lumOff val="40000"/>
                    <a:tint val="44500"/>
                    <a:satMod val="160000"/>
                  </a:schemeClr>
                </a:gs>
                <a:gs pos="100000">
                  <a:schemeClr val="accent3">
                    <a:lumMod val="60000"/>
                    <a:lumOff val="40000"/>
                    <a:tint val="23500"/>
                    <a:satMod val="160000"/>
                  </a:schemeClr>
                </a:gs>
              </a:gsLst>
              <a:lin ang="10800000" scaled="1"/>
              <a:tileRect/>
            </a:gra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w="28575" cap="rnd">
            <a:solidFill>
              <a:schemeClr val="accent3"/>
            </a:solidFill>
            <a:round/>
          </a:ln>
          <a:effectLst/>
        </c:spPr>
        <c:marker>
          <c:symbol val="circle"/>
          <c:size val="5"/>
          <c:spPr>
            <a:gradFill flip="none" rotWithShape="1">
              <a:gsLst>
                <a:gs pos="0">
                  <a:schemeClr val="accent3">
                    <a:lumMod val="60000"/>
                    <a:lumOff val="40000"/>
                    <a:tint val="66000"/>
                    <a:satMod val="160000"/>
                  </a:schemeClr>
                </a:gs>
                <a:gs pos="50000">
                  <a:schemeClr val="accent3">
                    <a:lumMod val="60000"/>
                    <a:lumOff val="40000"/>
                    <a:tint val="44500"/>
                    <a:satMod val="160000"/>
                  </a:schemeClr>
                </a:gs>
                <a:gs pos="100000">
                  <a:schemeClr val="accent3">
                    <a:lumMod val="60000"/>
                    <a:lumOff val="40000"/>
                    <a:tint val="23500"/>
                    <a:satMod val="160000"/>
                  </a:schemeClr>
                </a:gs>
              </a:gsLst>
              <a:lin ang="10800000" scaled="1"/>
              <a:tileRect/>
            </a:gra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3"/>
            </a:solidFill>
            <a:round/>
          </a:ln>
          <a:effectLst/>
        </c:spPr>
        <c:marker>
          <c:symbol val="circle"/>
          <c:size val="5"/>
          <c:spPr>
            <a:gradFill flip="none" rotWithShape="1">
              <a:gsLst>
                <a:gs pos="0">
                  <a:schemeClr val="accent3">
                    <a:lumMod val="60000"/>
                    <a:lumOff val="40000"/>
                    <a:tint val="66000"/>
                    <a:satMod val="160000"/>
                  </a:schemeClr>
                </a:gs>
                <a:gs pos="50000">
                  <a:schemeClr val="accent3">
                    <a:lumMod val="60000"/>
                    <a:lumOff val="40000"/>
                    <a:tint val="44500"/>
                    <a:satMod val="160000"/>
                  </a:schemeClr>
                </a:gs>
                <a:gs pos="100000">
                  <a:schemeClr val="accent3">
                    <a:lumMod val="60000"/>
                    <a:lumOff val="40000"/>
                    <a:tint val="23500"/>
                    <a:satMod val="160000"/>
                  </a:schemeClr>
                </a:gs>
              </a:gsLst>
              <a:lin ang="10800000" scaled="1"/>
              <a:tileRect/>
            </a:gra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'pivot_Summary '!$E$7</c:f>
              <c:strCache>
                <c:ptCount val="1"/>
                <c:pt idx="0">
                  <c:v>Total</c:v>
                </c:pt>
              </c:strCache>
            </c:strRef>
          </c:tx>
          <c:spPr>
            <a:ln w="28575" cap="rnd">
              <a:solidFill>
                <a:schemeClr val="accent3"/>
              </a:solidFill>
              <a:round/>
            </a:ln>
            <a:effectLst/>
          </c:spPr>
          <c:marker>
            <c:symbol val="circle"/>
            <c:size val="5"/>
            <c:spPr>
              <a:gradFill flip="none" rotWithShape="1">
                <a:gsLst>
                  <a:gs pos="0">
                    <a:schemeClr val="accent3">
                      <a:lumMod val="60000"/>
                      <a:lumOff val="40000"/>
                      <a:tint val="66000"/>
                      <a:satMod val="160000"/>
                    </a:schemeClr>
                  </a:gs>
                  <a:gs pos="50000">
                    <a:schemeClr val="accent3">
                      <a:lumMod val="60000"/>
                      <a:lumOff val="40000"/>
                      <a:tint val="44500"/>
                      <a:satMod val="160000"/>
                    </a:schemeClr>
                  </a:gs>
                  <a:gs pos="100000">
                    <a:schemeClr val="accent3">
                      <a:lumMod val="60000"/>
                      <a:lumOff val="40000"/>
                      <a:tint val="23500"/>
                      <a:satMod val="160000"/>
                    </a:schemeClr>
                  </a:gs>
                </a:gsLst>
                <a:lin ang="10800000" scaled="1"/>
                <a:tileRect/>
              </a:gra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'pivot_Summary '!$D$8:$D$14</c:f>
              <c:strCache>
                <c:ptCount val="6"/>
                <c:pt idx="0">
                  <c:v>Jan</c:v>
                </c:pt>
                <c:pt idx="1">
                  <c:v>Feb</c:v>
                </c:pt>
                <c:pt idx="2">
                  <c:v>Mar</c:v>
                </c:pt>
                <c:pt idx="3">
                  <c:v>Apr</c:v>
                </c:pt>
                <c:pt idx="4">
                  <c:v>May</c:v>
                </c:pt>
                <c:pt idx="5">
                  <c:v>Jun</c:v>
                </c:pt>
              </c:strCache>
            </c:strRef>
          </c:cat>
          <c:val>
            <c:numRef>
              <c:f>'pivot_Summary '!$E$8:$E$14</c:f>
              <c:numCache>
                <c:formatCode>\₦0,,"m"</c:formatCode>
                <c:ptCount val="6"/>
                <c:pt idx="0">
                  <c:v>9364700</c:v>
                </c:pt>
                <c:pt idx="1">
                  <c:v>11286300</c:v>
                </c:pt>
                <c:pt idx="2">
                  <c:v>21779000</c:v>
                </c:pt>
                <c:pt idx="3">
                  <c:v>8118400</c:v>
                </c:pt>
                <c:pt idx="4">
                  <c:v>14650900</c:v>
                </c:pt>
                <c:pt idx="5">
                  <c:v>11457300</c:v>
                </c:pt>
              </c:numCache>
            </c:numRef>
          </c:val>
          <c:smooth val="0"/>
          <c:extLst>
            <c:ext xmlns:c16="http://schemas.microsoft.com/office/drawing/2014/chart" uri="{C3380CC4-5D6E-409C-BE32-E72D297353CC}">
              <c16:uniqueId val="{00000000-F137-4472-8E87-D02705BD4F8D}"/>
            </c:ext>
          </c:extLst>
        </c:ser>
        <c:dLbls>
          <c:dLblPos val="t"/>
          <c:showLegendKey val="0"/>
          <c:showVal val="1"/>
          <c:showCatName val="0"/>
          <c:showSerName val="0"/>
          <c:showPercent val="0"/>
          <c:showBubbleSize val="0"/>
        </c:dLbls>
        <c:marker val="1"/>
        <c:smooth val="0"/>
        <c:axId val="726698751"/>
        <c:axId val="726689631"/>
      </c:lineChart>
      <c:catAx>
        <c:axId val="7266987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26689631"/>
        <c:crosses val="autoZero"/>
        <c:auto val="1"/>
        <c:lblAlgn val="ctr"/>
        <c:lblOffset val="100"/>
        <c:noMultiLvlLbl val="0"/>
      </c:catAx>
      <c:valAx>
        <c:axId val="726689631"/>
        <c:scaling>
          <c:orientation val="minMax"/>
        </c:scaling>
        <c:delete val="1"/>
        <c:axPos val="l"/>
        <c:numFmt formatCode="\₦0,,&quot;m&quot;" sourceLinked="1"/>
        <c:majorTickMark val="out"/>
        <c:minorTickMark val="none"/>
        <c:tickLblPos val="nextTo"/>
        <c:crossAx val="726698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50000"/>
          <a:alpha val="90000"/>
        </a:schemeClr>
      </a:solidFill>
      <a:round/>
    </a:ln>
    <a:effectLst/>
  </c:spPr>
  <c:txPr>
    <a:bodyPr/>
    <a:lstStyle/>
    <a:p>
      <a:pPr>
        <a:defRPr b="1" i="0"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[ThankGod Austin Excell_Dasboard_Activity.xlsx]pivot_Summary !PivotTable9</c:name>
    <c:fmtId val="12"/>
  </c:pivotSource>
  <c:chart>
    <c:title>
      <c:tx>
        <c:rich>
          <a:bodyPr rot="0" spcFirstLastPara="1" vertOverflow="ellipsis" vert="horz" wrap="square" anchor="ctr" anchorCtr="1"/>
          <a:lstStyle/>
          <a:p>
            <a:pPr>
              <a:defRPr sz="1400" b="1" i="0" u="none" strike="noStrike" kern="1200" spc="0" baseline="0">
                <a:solidFill>
                  <a:schemeClr val="tx1"/>
                </a:solidFill>
                <a:latin typeface="Calibri" panose="020F0502020204030204" pitchFamily="34" charset="0"/>
                <a:ea typeface="+mn-ea"/>
                <a:cs typeface="+mn-cs"/>
              </a:defRPr>
            </a:pPr>
            <a:r>
              <a:rPr lang="en-US" b="1" i="0" baseline="0">
                <a:solidFill>
                  <a:schemeClr val="tx1"/>
                </a:solidFill>
                <a:latin typeface="Calibri" panose="020F0502020204030204" pitchFamily="34" charset="0"/>
              </a:rPr>
              <a:t>Top five Product</a:t>
            </a:r>
          </a:p>
          <a:p>
            <a:pPr>
              <a:defRPr b="1">
                <a:solidFill>
                  <a:schemeClr val="tx1"/>
                </a:solidFill>
                <a:latin typeface="Calibri" panose="020F0502020204030204" pitchFamily="34" charset="0"/>
              </a:defRPr>
            </a:pPr>
            <a:endParaRPr lang="en-US" b="1" i="0" baseline="0">
              <a:solidFill>
                <a:schemeClr val="tx1"/>
              </a:solidFill>
              <a:latin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Calibri" panose="020F0502020204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lumMod val="60000"/>
                  <a:lumOff val="40000"/>
                  <a:tint val="66000"/>
                  <a:satMod val="160000"/>
                </a:schemeClr>
              </a:gs>
              <a:gs pos="50000">
                <a:schemeClr val="accent2">
                  <a:lumMod val="60000"/>
                  <a:lumOff val="40000"/>
                  <a:tint val="44500"/>
                  <a:satMod val="160000"/>
                </a:schemeClr>
              </a:gs>
              <a:gs pos="100000">
                <a:schemeClr val="accent2">
                  <a:lumMod val="60000"/>
                  <a:lumOff val="40000"/>
                  <a:tint val="23500"/>
                  <a:satMod val="160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2">
                  <a:lumMod val="60000"/>
                  <a:lumOff val="40000"/>
                  <a:tint val="66000"/>
                  <a:satMod val="160000"/>
                </a:schemeClr>
              </a:gs>
              <a:gs pos="50000">
                <a:schemeClr val="accent2">
                  <a:lumMod val="60000"/>
                  <a:lumOff val="40000"/>
                  <a:tint val="44500"/>
                  <a:satMod val="160000"/>
                </a:schemeClr>
              </a:gs>
              <a:gs pos="100000">
                <a:schemeClr val="accent2">
                  <a:lumMod val="60000"/>
                  <a:lumOff val="40000"/>
                  <a:tint val="23500"/>
                  <a:satMod val="160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2">
                  <a:lumMod val="60000"/>
                  <a:lumOff val="40000"/>
                  <a:tint val="66000"/>
                  <a:satMod val="160000"/>
                </a:schemeClr>
              </a:gs>
              <a:gs pos="50000">
                <a:schemeClr val="accent2">
                  <a:lumMod val="60000"/>
                  <a:lumOff val="40000"/>
                  <a:tint val="44500"/>
                  <a:satMod val="160000"/>
                </a:schemeClr>
              </a:gs>
              <a:gs pos="100000">
                <a:schemeClr val="accent2">
                  <a:lumMod val="60000"/>
                  <a:lumOff val="40000"/>
                  <a:tint val="23500"/>
                  <a:satMod val="160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2">
                  <a:lumMod val="60000"/>
                  <a:lumOff val="40000"/>
                  <a:tint val="66000"/>
                  <a:satMod val="160000"/>
                </a:schemeClr>
              </a:gs>
              <a:gs pos="50000">
                <a:schemeClr val="accent2">
                  <a:lumMod val="60000"/>
                  <a:lumOff val="40000"/>
                  <a:tint val="44500"/>
                  <a:satMod val="160000"/>
                </a:schemeClr>
              </a:gs>
              <a:gs pos="100000">
                <a:schemeClr val="accent2">
                  <a:lumMod val="60000"/>
                  <a:lumOff val="40000"/>
                  <a:tint val="23500"/>
                  <a:satMod val="160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2">
                  <a:lumMod val="60000"/>
                  <a:lumOff val="40000"/>
                  <a:tint val="66000"/>
                  <a:satMod val="160000"/>
                </a:schemeClr>
              </a:gs>
              <a:gs pos="50000">
                <a:schemeClr val="accent2">
                  <a:lumMod val="60000"/>
                  <a:lumOff val="40000"/>
                  <a:tint val="44500"/>
                  <a:satMod val="160000"/>
                </a:schemeClr>
              </a:gs>
              <a:gs pos="100000">
                <a:schemeClr val="accent2">
                  <a:lumMod val="60000"/>
                  <a:lumOff val="40000"/>
                  <a:tint val="23500"/>
                  <a:satMod val="160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19631644721765"/>
          <c:y val="0.17377267956562739"/>
          <c:w val="0.74192010653806773"/>
          <c:h val="0.75103420597678427"/>
        </c:manualLayout>
      </c:layout>
      <c:barChart>
        <c:barDir val="bar"/>
        <c:grouping val="clustered"/>
        <c:varyColors val="0"/>
        <c:ser>
          <c:idx val="0"/>
          <c:order val="0"/>
          <c:tx>
            <c:strRef>
              <c:f>'pivot_Summary '!$B$28</c:f>
              <c:strCache>
                <c:ptCount val="1"/>
                <c:pt idx="0">
                  <c:v>Total</c:v>
                </c:pt>
              </c:strCache>
            </c:strRef>
          </c:tx>
          <c:spPr>
            <a:gradFill flip="none" rotWithShape="1">
              <a:gsLst>
                <a:gs pos="0">
                  <a:schemeClr val="accent2">
                    <a:lumMod val="60000"/>
                    <a:lumOff val="40000"/>
                    <a:tint val="66000"/>
                    <a:satMod val="160000"/>
                  </a:schemeClr>
                </a:gs>
                <a:gs pos="50000">
                  <a:schemeClr val="accent2">
                    <a:lumMod val="60000"/>
                    <a:lumOff val="40000"/>
                    <a:tint val="44500"/>
                    <a:satMod val="160000"/>
                  </a:schemeClr>
                </a:gs>
                <a:gs pos="100000">
                  <a:schemeClr val="accent2">
                    <a:lumMod val="60000"/>
                    <a:lumOff val="40000"/>
                    <a:tint val="23500"/>
                    <a:satMod val="160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'pivot_Summary '!$A$29:$A$34</c:f>
              <c:strCache>
                <c:ptCount val="5"/>
                <c:pt idx="0">
                  <c:v>Laptop Pro 14</c:v>
                </c:pt>
                <c:pt idx="1">
                  <c:v>Laptop Air 13</c:v>
                </c:pt>
                <c:pt idx="2">
                  <c:v>Android Phone</c:v>
                </c:pt>
                <c:pt idx="3">
                  <c:v>Standing Desk</c:v>
                </c:pt>
                <c:pt idx="4">
                  <c:v>Printer</c:v>
                </c:pt>
              </c:strCache>
            </c:strRef>
          </c:cat>
          <c:val>
            <c:numRef>
              <c:f>'pivot_Summary '!$B$29:$B$34</c:f>
              <c:numCache>
                <c:formatCode>\₦0,,"m"</c:formatCode>
                <c:ptCount val="5"/>
                <c:pt idx="0">
                  <c:v>18434500</c:v>
                </c:pt>
                <c:pt idx="1">
                  <c:v>12648500</c:v>
                </c:pt>
                <c:pt idx="2">
                  <c:v>10536400</c:v>
                </c:pt>
                <c:pt idx="3">
                  <c:v>5170200</c:v>
                </c:pt>
                <c:pt idx="4">
                  <c:v>4751900</c:v>
                </c:pt>
              </c:numCache>
            </c:numRef>
          </c:val>
          <c:extLst>
            <c:ext xmlns:c16="http://schemas.microsoft.com/office/drawing/2014/chart" uri="{C3380CC4-5D6E-409C-BE32-E72D297353CC}">
              <c16:uniqueId val="{00000000-A2E9-4571-9AA8-FF5476F7B6F4}"/>
            </c:ext>
          </c:extLst>
        </c:ser>
        <c:dLbls>
          <c:dLblPos val="outEnd"/>
          <c:showLegendKey val="0"/>
          <c:showVal val="1"/>
          <c:showCatName val="0"/>
          <c:showSerName val="0"/>
          <c:showPercent val="0"/>
          <c:showBubbleSize val="0"/>
        </c:dLbls>
        <c:gapWidth val="182"/>
        <c:axId val="726680991"/>
        <c:axId val="726682911"/>
      </c:barChart>
      <c:catAx>
        <c:axId val="7266809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1" i="0" u="none" strike="noStrike" kern="1200" baseline="0">
                <a:solidFill>
                  <a:schemeClr val="tx1"/>
                </a:solidFill>
                <a:latin typeface="+mn-lt"/>
                <a:ea typeface="+mn-ea"/>
                <a:cs typeface="+mn-cs"/>
              </a:defRPr>
            </a:pPr>
            <a:endParaRPr lang="en-US"/>
          </a:p>
        </c:txPr>
        <c:crossAx val="726682911"/>
        <c:crosses val="autoZero"/>
        <c:auto val="1"/>
        <c:lblAlgn val="ctr"/>
        <c:lblOffset val="100"/>
        <c:noMultiLvlLbl val="0"/>
      </c:catAx>
      <c:valAx>
        <c:axId val="726682911"/>
        <c:scaling>
          <c:orientation val="minMax"/>
        </c:scaling>
        <c:delete val="1"/>
        <c:axPos val="b"/>
        <c:numFmt formatCode="\₦0,,&quot;m&quot;" sourceLinked="1"/>
        <c:majorTickMark val="out"/>
        <c:minorTickMark val="none"/>
        <c:tickLblPos val="nextTo"/>
        <c:crossAx val="726680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50000"/>
          <a:alpha val="91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[ThankGod Austin Excell_Dasboard_Activity.xlsx]pivot_Summary !PivotTable10</c:name>
    <c:fmtId val="10"/>
  </c:pivotSource>
  <c:chart>
    <c:title>
      <c:tx>
        <c:rich>
          <a:bodyPr rot="0" spcFirstLastPara="1" vertOverflow="ellipsis" vert="horz" wrap="square" anchor="ctr" anchorCtr="1"/>
          <a:lstStyle/>
          <a:p>
            <a:pPr>
              <a:defRPr sz="1400" b="1" i="0" u="none" strike="noStrike" kern="1200" spc="0" baseline="0">
                <a:solidFill>
                  <a:schemeClr val="tx1"/>
                </a:solidFill>
                <a:latin typeface="Calibri" panose="020F0502020204030204" pitchFamily="34" charset="0"/>
                <a:ea typeface="+mn-ea"/>
                <a:cs typeface="+mn-cs"/>
              </a:defRPr>
            </a:pPr>
            <a:r>
              <a:rPr lang="en-US" b="1" i="0" baseline="0">
                <a:solidFill>
                  <a:schemeClr val="tx1"/>
                </a:solidFill>
                <a:latin typeface="Calibri" panose="020F0502020204030204" pitchFamily="34" charset="0"/>
              </a:rPr>
              <a:t>Orders by Salespersons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Calibri" panose="020F0502020204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00B0F0">
                  <a:tint val="66000"/>
                  <a:satMod val="160000"/>
                </a:srgbClr>
              </a:gs>
              <a:gs pos="50000">
                <a:srgbClr val="00B0F0">
                  <a:tint val="44500"/>
                  <a:satMod val="160000"/>
                </a:srgbClr>
              </a:gs>
              <a:gs pos="100000">
                <a:srgbClr val="00B0F0">
                  <a:tint val="23500"/>
                  <a:satMod val="160000"/>
                </a:srgb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00B0F0">
                  <a:tint val="66000"/>
                  <a:satMod val="160000"/>
                </a:srgbClr>
              </a:gs>
              <a:gs pos="50000">
                <a:srgbClr val="00B0F0">
                  <a:tint val="44500"/>
                  <a:satMod val="160000"/>
                </a:srgbClr>
              </a:gs>
              <a:gs pos="100000">
                <a:srgbClr val="00B0F0">
                  <a:tint val="23500"/>
                  <a:satMod val="160000"/>
                </a:srgb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rgbClr val="00B0F0">
                  <a:tint val="66000"/>
                  <a:satMod val="160000"/>
                </a:srgbClr>
              </a:gs>
              <a:gs pos="50000">
                <a:srgbClr val="00B0F0">
                  <a:tint val="44500"/>
                  <a:satMod val="160000"/>
                </a:srgbClr>
              </a:gs>
              <a:gs pos="100000">
                <a:srgbClr val="00B0F0">
                  <a:tint val="23500"/>
                  <a:satMod val="160000"/>
                </a:srgb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rgbClr val="00B0F0">
                  <a:tint val="66000"/>
                  <a:satMod val="160000"/>
                </a:srgbClr>
              </a:gs>
              <a:gs pos="50000">
                <a:srgbClr val="00B0F0">
                  <a:tint val="44500"/>
                  <a:satMod val="160000"/>
                </a:srgbClr>
              </a:gs>
              <a:gs pos="100000">
                <a:srgbClr val="00B0F0">
                  <a:tint val="23500"/>
                  <a:satMod val="160000"/>
                </a:srgb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rgbClr val="00B0F0">
                  <a:tint val="66000"/>
                  <a:satMod val="160000"/>
                </a:srgbClr>
              </a:gs>
              <a:gs pos="50000">
                <a:srgbClr val="00B0F0">
                  <a:tint val="44500"/>
                  <a:satMod val="160000"/>
                </a:srgbClr>
              </a:gs>
              <a:gs pos="100000">
                <a:srgbClr val="00B0F0">
                  <a:tint val="23500"/>
                  <a:satMod val="160000"/>
                </a:srgb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95134635948284"/>
          <c:y val="0.14821549427008757"/>
          <c:w val="0.77865570623116553"/>
          <c:h val="0.72680401995214594"/>
        </c:manualLayout>
      </c:layout>
      <c:barChart>
        <c:barDir val="bar"/>
        <c:grouping val="clustered"/>
        <c:varyColors val="0"/>
        <c:ser>
          <c:idx val="0"/>
          <c:order val="0"/>
          <c:tx>
            <c:strRef>
              <c:f>'pivot_Summary '!$E$17</c:f>
              <c:strCache>
                <c:ptCount val="1"/>
                <c:pt idx="0">
                  <c:v>Total</c:v>
                </c:pt>
              </c:strCache>
            </c:strRef>
          </c:tx>
          <c:spPr>
            <a:gradFill>
              <a:gsLst>
                <a:gs pos="0">
                  <a:srgbClr val="00B0F0">
                    <a:tint val="66000"/>
                    <a:satMod val="160000"/>
                  </a:srgbClr>
                </a:gs>
                <a:gs pos="50000">
                  <a:srgbClr val="00B0F0">
                    <a:tint val="44500"/>
                    <a:satMod val="160000"/>
                  </a:srgbClr>
                </a:gs>
                <a:gs pos="100000">
                  <a:srgbClr val="00B0F0">
                    <a:tint val="23500"/>
                    <a:satMod val="160000"/>
                  </a:srgbClr>
                </a:gs>
              </a:gsLst>
              <a:lin ang="162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'pivot_Summary '!$D$18:$D$28</c:f>
              <c:strCache>
                <c:ptCount val="10"/>
                <c:pt idx="0">
                  <c:v>Mariam</c:v>
                </c:pt>
                <c:pt idx="1">
                  <c:v>Chika</c:v>
                </c:pt>
                <c:pt idx="2">
                  <c:v>Tunde</c:v>
                </c:pt>
                <c:pt idx="3">
                  <c:v>Bola</c:v>
                </c:pt>
                <c:pt idx="4">
                  <c:v>Ibrahim</c:v>
                </c:pt>
                <c:pt idx="5">
                  <c:v>Ada</c:v>
                </c:pt>
                <c:pt idx="6">
                  <c:v>Uche</c:v>
                </c:pt>
                <c:pt idx="7">
                  <c:v>Nneka</c:v>
                </c:pt>
                <c:pt idx="8">
                  <c:v>Sade</c:v>
                </c:pt>
                <c:pt idx="9">
                  <c:v>Kunle</c:v>
                </c:pt>
              </c:strCache>
            </c:strRef>
          </c:cat>
          <c:val>
            <c:numRef>
              <c:f>'pivot_Summary '!$E$18:$E$28</c:f>
              <c:numCache>
                <c:formatCode>General</c:formatCode>
                <c:ptCount val="10"/>
                <c:pt idx="0">
                  <c:v>22</c:v>
                </c:pt>
                <c:pt idx="1">
                  <c:v>22</c:v>
                </c:pt>
                <c:pt idx="2">
                  <c:v>18</c:v>
                </c:pt>
                <c:pt idx="3">
                  <c:v>17</c:v>
                </c:pt>
                <c:pt idx="4">
                  <c:v>15</c:v>
                </c:pt>
                <c:pt idx="5">
                  <c:v>15</c:v>
                </c:pt>
                <c:pt idx="6">
                  <c:v>14</c:v>
                </c:pt>
                <c:pt idx="7">
                  <c:v>13</c:v>
                </c:pt>
                <c:pt idx="8">
                  <c:v>12</c:v>
                </c:pt>
                <c:pt idx="9">
                  <c:v>12</c:v>
                </c:pt>
              </c:numCache>
            </c:numRef>
          </c:val>
          <c:extLst>
            <c:ext xmlns:c16="http://schemas.microsoft.com/office/drawing/2014/chart" uri="{C3380CC4-5D6E-409C-BE32-E72D297353CC}">
              <c16:uniqueId val="{00000000-F47E-4A62-9790-B0FB2C33AF20}"/>
            </c:ext>
          </c:extLst>
        </c:ser>
        <c:dLbls>
          <c:dLblPos val="outEnd"/>
          <c:showLegendKey val="0"/>
          <c:showVal val="1"/>
          <c:showCatName val="0"/>
          <c:showSerName val="0"/>
          <c:showPercent val="0"/>
          <c:showBubbleSize val="0"/>
        </c:dLbls>
        <c:gapWidth val="182"/>
        <c:axId val="726659871"/>
        <c:axId val="726666111"/>
      </c:barChart>
      <c:catAx>
        <c:axId val="726659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726666111"/>
        <c:crosses val="autoZero"/>
        <c:auto val="1"/>
        <c:lblAlgn val="ctr"/>
        <c:lblOffset val="100"/>
        <c:noMultiLvlLbl val="0"/>
      </c:catAx>
      <c:valAx>
        <c:axId val="726666111"/>
        <c:scaling>
          <c:orientation val="minMax"/>
        </c:scaling>
        <c:delete val="1"/>
        <c:axPos val="b"/>
        <c:numFmt formatCode="General" sourceLinked="1"/>
        <c:majorTickMark val="none"/>
        <c:minorTickMark val="none"/>
        <c:tickLblPos val="nextTo"/>
        <c:crossAx val="726659871"/>
        <c:crosses val="autoZero"/>
        <c:crossBetween val="between"/>
      </c:valAx>
      <c:spPr>
        <a:noFill/>
        <a:ln w="15875">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[ThankGod Austin Excell_Dasboard_Activity.xlsx]pivot_Summary !PivotTable12</c:name>
    <c:fmtId val="14"/>
  </c:pivotSource>
  <c:chart>
    <c:title>
      <c:tx>
        <c:rich>
          <a:bodyPr rot="0" spcFirstLastPara="1" vertOverflow="ellipsis" vert="horz" wrap="square" anchor="ctr" anchorCtr="1"/>
          <a:lstStyle/>
          <a:p>
            <a:pPr>
              <a:defRPr sz="1400" b="1" i="0" u="none" strike="noStrike" kern="1200" spc="0" baseline="0">
                <a:solidFill>
                  <a:schemeClr val="tx1"/>
                </a:solidFill>
                <a:latin typeface="Calibri" panose="020F0502020204030204" pitchFamily="34" charset="0"/>
                <a:ea typeface="+mn-ea"/>
                <a:cs typeface="+mn-cs"/>
              </a:defRPr>
            </a:pPr>
            <a:r>
              <a:rPr lang="en-US" b="1" i="0" baseline="0">
                <a:solidFill>
                  <a:schemeClr val="tx1"/>
                </a:solidFill>
                <a:latin typeface="Calibri" panose="020F0502020204030204" pitchFamily="34" charset="0"/>
              </a:rPr>
              <a:t>profit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Calibri" panose="020F0502020204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'pivot_Summary '!$B$19</c:f>
              <c:strCache>
                <c:ptCount val="1"/>
                <c:pt idx="0">
                  <c:v>Total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'pivot_Summary '!$A$20:$A$25</c:f>
              <c:strCache>
                <c:ptCount val="5"/>
                <c:pt idx="0">
                  <c:v>Accessories</c:v>
                </c:pt>
                <c:pt idx="1">
                  <c:v>Business Tools</c:v>
                </c:pt>
                <c:pt idx="2">
                  <c:v>Electronics</c:v>
                </c:pt>
                <c:pt idx="3">
                  <c:v>Home Office</c:v>
                </c:pt>
                <c:pt idx="4">
                  <c:v>Networking</c:v>
                </c:pt>
              </c:strCache>
            </c:strRef>
          </c:cat>
          <c:val>
            <c:numRef>
              <c:f>'pivot_Summary '!$B$20:$B$25</c:f>
              <c:numCache>
                <c:formatCode>\₦0,,"m"</c:formatCode>
                <c:ptCount val="5"/>
                <c:pt idx="0">
                  <c:v>1748800</c:v>
                </c:pt>
                <c:pt idx="1">
                  <c:v>1790200</c:v>
                </c:pt>
                <c:pt idx="2">
                  <c:v>12309500</c:v>
                </c:pt>
                <c:pt idx="3">
                  <c:v>6751600</c:v>
                </c:pt>
                <c:pt idx="4">
                  <c:v>285400</c:v>
                </c:pt>
              </c:numCache>
            </c:numRef>
          </c:val>
          <c:extLst>
            <c:ext xmlns:c16="http://schemas.microsoft.com/office/drawing/2014/chart" uri="{C3380CC4-5D6E-409C-BE32-E72D297353CC}">
              <c16:uniqueId val="{00000000-A91D-449A-B8C1-DBC2A12EEA06}"/>
            </c:ext>
          </c:extLst>
        </c:ser>
        <c:dLbls>
          <c:dLblPos val="outEnd"/>
          <c:showLegendKey val="0"/>
          <c:showVal val="1"/>
          <c:showCatName val="0"/>
          <c:showSerName val="0"/>
          <c:showPercent val="0"/>
          <c:showBubbleSize val="0"/>
        </c:dLbls>
        <c:gapWidth val="219"/>
        <c:overlap val="-27"/>
        <c:axId val="726691071"/>
        <c:axId val="726720351"/>
      </c:barChart>
      <c:catAx>
        <c:axId val="72669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726720351"/>
        <c:crosses val="autoZero"/>
        <c:auto val="1"/>
        <c:lblAlgn val="ctr"/>
        <c:lblOffset val="100"/>
        <c:noMultiLvlLbl val="0"/>
      </c:catAx>
      <c:valAx>
        <c:axId val="726720351"/>
        <c:scaling>
          <c:orientation val="minMax"/>
        </c:scaling>
        <c:delete val="0"/>
        <c:axPos val="l"/>
        <c:numFmt formatCode="\₦0,,&quot;m&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726691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0" scaled="1"/>
    </a:gradFill>
    <a:ln w="9525" cap="sq" cmpd="sng" algn="ctr">
      <a:solidFill>
        <a:schemeClr val="bg2">
          <a:lumMod val="50000"/>
          <a:alpha val="90000"/>
        </a:schemeClr>
      </a:solidFill>
      <a:round/>
    </a:ln>
    <a:effectLst>
      <a:outerShdw blurRad="50800" dist="38100" dir="2700000" algn="tl" rotWithShape="0">
        <a:prstClr val="black">
          <a:alpha val="40000"/>
        </a:prstClr>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[ThankGod Austin Excell_Dasboard_Activity.xlsx]pivot_Summary !PivotTable2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'pivot_Summary '!$H$7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'pivot_Summary '!$G$8:$G$11</c:f>
              <c:strCache>
                <c:ptCount val="4"/>
                <c:pt idx="0">
                  <c:v>Card</c:v>
                </c:pt>
                <c:pt idx="1">
                  <c:v>Cash</c:v>
                </c:pt>
                <c:pt idx="2">
                  <c:v>POS</c:v>
                </c:pt>
                <c:pt idx="3">
                  <c:v>Transfer</c:v>
                </c:pt>
              </c:strCache>
            </c:strRef>
          </c:cat>
          <c:val>
            <c:numRef>
              <c:f>'pivot_Summary '!$H$8:$H$11</c:f>
              <c:numCache>
                <c:formatCode>\₦0,,"m"</c:formatCode>
                <c:ptCount val="4"/>
                <c:pt idx="0">
                  <c:v>16792300</c:v>
                </c:pt>
                <c:pt idx="1">
                  <c:v>15269300</c:v>
                </c:pt>
                <c:pt idx="2">
                  <c:v>13040200</c:v>
                </c:pt>
                <c:pt idx="3">
                  <c:v>31554800</c:v>
                </c:pt>
              </c:numCache>
            </c:numRef>
          </c:val>
          <c:extLst>
            <c:ext xmlns:c16="http://schemas.microsoft.com/office/drawing/2014/chart" uri="{C3380CC4-5D6E-409C-BE32-E72D297353CC}">
              <c16:uniqueId val="{00000009-A838-4C31-A4A2-230E66BB3B8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[ThankGod Austin Excell_Dasboard_Activity.xlsx]pivot_Summary !PivotTable2</c:name>
    <c:fmtId val="19"/>
  </c:pivotSource>
  <c:chart>
    <c:title>
      <c:tx>
        <c:rich>
          <a:bodyPr rot="0" spcFirstLastPara="1" vertOverflow="ellipsis" vert="horz" wrap="square" anchor="ctr" anchorCtr="1"/>
          <a:lstStyle/>
          <a:p>
            <a:pPr>
              <a:defRPr lang="en-US" sz="1200" b="1" i="0" u="none" strike="noStrike" kern="1200" spc="0" baseline="0">
                <a:solidFill>
                  <a:schemeClr val="tx1">
                    <a:lumMod val="95000"/>
                    <a:lumOff val="5000"/>
                    <a:alpha val="99000"/>
                  </a:schemeClr>
                </a:solidFill>
                <a:latin typeface="+mn-lt"/>
                <a:ea typeface="+mn-ea"/>
                <a:cs typeface="+mn-cs"/>
              </a:defRPr>
            </a:pPr>
            <a:r>
              <a:rPr lang="en-US" b="1" i="0" baseline="0"/>
              <a:t>Revenue by Payment Method</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lumMod val="95000"/>
                  <a:lumOff val="5000"/>
                  <a:alpha val="99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180000" spcFirstLastPara="1" vertOverflow="ellipsis" wrap="square" anchor="ctr" anchorCtr="1"/>
            <a:lstStyle/>
            <a:p>
              <a:pPr>
                <a:defRPr lang="en-US" sz="1000" b="1" i="0" u="none" strike="noStrike" kern="1200" baseline="0">
                  <a:solidFill>
                    <a:schemeClr val="tx1">
                      <a:lumMod val="95000"/>
                      <a:lumOff val="5000"/>
                      <a:alpha val="99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163A5F"/>
          </a:solidFill>
          <a:ln w="19050">
            <a:noFill/>
          </a:ln>
          <a:effectLst/>
        </c:spPr>
      </c:pivotFmt>
      <c:pivotFmt>
        <c:idx val="8"/>
        <c:spPr>
          <a:solidFill>
            <a:srgbClr val="1F7A8C"/>
          </a:solidFill>
          <a:ln w="19050">
            <a:noFill/>
          </a:ln>
          <a:effectLst/>
        </c:spPr>
      </c:pivotFmt>
      <c:pivotFmt>
        <c:idx val="9"/>
        <c:spPr>
          <a:solidFill>
            <a:srgbClr val="E0A458"/>
          </a:solidFill>
          <a:ln w="19050">
            <a:noFill/>
          </a:ln>
          <a:effectLst/>
        </c:spPr>
      </c:pivotFmt>
      <c:pivotFmt>
        <c:idx val="10"/>
        <c:spPr>
          <a:solidFill>
            <a:srgbClr val="C73E4D"/>
          </a:solidFill>
          <a:ln w="19050">
            <a:noFill/>
          </a:ln>
          <a:effectLst/>
        </c:spPr>
      </c:pivotFmt>
    </c:pivotFmts>
    <c:plotArea>
      <c:layout/>
      <c:pieChart>
        <c:varyColors val="1"/>
        <c:ser>
          <c:idx val="0"/>
          <c:order val="0"/>
          <c:tx>
            <c:strRef>
              <c:f>'pivot_Summary '!$H$7</c:f>
              <c:strCache>
                <c:ptCount val="1"/>
                <c:pt idx="0">
                  <c:v>Total</c:v>
                </c:pt>
              </c:strCache>
            </c:strRef>
          </c:tx>
          <c:spPr>
            <a:ln>
              <a:noFill/>
            </a:ln>
          </c:spPr>
          <c:dPt>
            <c:idx val="0"/>
            <c:bubble3D val="0"/>
            <c:spPr>
              <a:solidFill>
                <a:srgbClr val="163A5F"/>
              </a:solidFill>
              <a:ln w="19050">
                <a:noFill/>
              </a:ln>
              <a:effectLst/>
            </c:spPr>
          </c:dPt>
          <c:dPt>
            <c:idx val="1"/>
            <c:bubble3D val="0"/>
            <c:spPr>
              <a:solidFill>
                <a:srgbClr val="1F7A8C"/>
              </a:solidFill>
              <a:ln w="19050">
                <a:noFill/>
              </a:ln>
              <a:effectLst/>
            </c:spPr>
          </c:dPt>
          <c:dPt>
            <c:idx val="2"/>
            <c:bubble3D val="0"/>
            <c:spPr>
              <a:solidFill>
                <a:srgbClr val="E0A458"/>
              </a:solidFill>
              <a:ln w="19050">
                <a:noFill/>
              </a:ln>
              <a:effectLst/>
            </c:spPr>
          </c:dPt>
          <c:dPt>
            <c:idx val="3"/>
            <c:bubble3D val="0"/>
            <c:spPr>
              <a:solidFill>
                <a:srgbClr val="C73E4D"/>
              </a:solidFill>
              <a:ln w="19050">
                <a:noFill/>
              </a:ln>
              <a:effectLst/>
            </c:spPr>
          </c:dPt>
          <c:dLbls>
            <c:spPr>
              <a:noFill/>
              <a:ln>
                <a:noFill/>
              </a:ln>
              <a:effectLst/>
            </c:spPr>
            <c:txPr>
              <a:bodyPr rot="180000" spcFirstLastPara="1" vertOverflow="ellipsis" wrap="square" anchor="ctr" anchorCtr="1"/>
              <a:lstStyle/>
              <a:p>
                <a:pPr>
                  <a:defRPr lang="en-US" sz="1000" b="1" i="0" u="none" strike="noStrike" kern="1200" baseline="0">
                    <a:solidFill>
                      <a:schemeClr val="tx1">
                        <a:lumMod val="95000"/>
                        <a:lumOff val="5000"/>
                        <a:alpha val="99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'pivot_Summary '!$G$8:$G$11</c:f>
              <c:strCache>
                <c:ptCount val="4"/>
                <c:pt idx="0">
                  <c:v>Card</c:v>
                </c:pt>
                <c:pt idx="1">
                  <c:v>Cash</c:v>
                </c:pt>
                <c:pt idx="2">
                  <c:v>POS</c:v>
                </c:pt>
                <c:pt idx="3">
                  <c:v>Transfer</c:v>
                </c:pt>
              </c:strCache>
            </c:strRef>
          </c:cat>
          <c:val>
            <c:numRef>
              <c:f>'pivot_Summary '!$H$8:$H$11</c:f>
              <c:numCache>
                <c:formatCode>\₦0,,"m"</c:formatCode>
                <c:ptCount val="4"/>
                <c:pt idx="0">
                  <c:v>16792300</c:v>
                </c:pt>
                <c:pt idx="1">
                  <c:v>15269300</c:v>
                </c:pt>
                <c:pt idx="2">
                  <c:v>13040200</c:v>
                </c:pt>
                <c:pt idx="3">
                  <c:v>31554800</c:v>
                </c:pt>
              </c:numCache>
            </c:numRef>
          </c:val>
          <c:extLst>
            <c:ext xmlns:c16="http://schemas.microsoft.com/office/drawing/2014/chart" uri="{C3380CC4-5D6E-409C-BE32-E72D297353CC}">
              <c16:uniqueId val="{00000009-3900-43C1-A883-8B5BEFA190AE}"/>
            </c:ext>
          </c:extLst>
        </c:ser>
        <c:dLbls>
          <c:dLblPos val="bestFit"/>
          <c:showLegendKey val="0"/>
          <c:showVal val="1"/>
          <c:showCatName val="0"/>
          <c:showSerName val="0"/>
          <c:showPercent val="0"/>
          <c:showBubbleSize val="0"/>
          <c:showLeaderLines val="1"/>
        </c:dLbls>
        <c:firstSliceAng val="32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alpha val="99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2">
          <a:lumMod val="50000"/>
        </a:schemeClr>
      </a:solidFill>
      <a:round/>
    </a:ln>
    <a:effectLst>
      <a:glow rad="12700">
        <a:schemeClr val="bg2">
          <a:lumMod val="50000"/>
          <a:alpha val="90000"/>
        </a:schemeClr>
      </a:glow>
    </a:effectLst>
  </c:spPr>
  <c:txPr>
    <a:bodyPr rot="2460000"/>
    <a:lstStyle/>
    <a:p>
      <a:pPr>
        <a:defRPr lang="en-US" sz="1000" b="0" i="0" u="none" strike="noStrike" kern="1200" baseline="0">
          <a:solidFill>
            <a:schemeClr val="tx1">
              <a:lumMod val="95000"/>
              <a:lumOff val="5000"/>
              <a:alpha val="99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123825</xdr:rowOff>
    </xdr:from>
    <xdr:to>
      <xdr:col>0</xdr:col>
      <xdr:colOff>0</xdr:colOff>
      <xdr:row>15</xdr:row>
      <xdr:rowOff>38100</xdr:rowOff>
    </xdr:to>
    <xdr:sp macro="" textlink="">
      <xdr:nvSpPr>
        <xdr:cNvPr id="8" name="TextBox 7">
          <a:extLst>
            <a:ext uri="{FF2B5EF4-FFF2-40B4-BE49-F238E27FC236}">
              <a16:creationId xmlns:a16="http://schemas.microsoft.com/office/drawing/2014/main" id="{3F8A11AA-3E92-A590-BDFD-6A18973E0C46}"/>
            </a:ext>
          </a:extLst>
        </xdr:cNvPr>
        <xdr:cNvSpPr txBox="1"/>
      </xdr:nvSpPr>
      <xdr:spPr>
        <a:xfrm rot="9490760">
          <a:off x="57150" y="2476500"/>
          <a:ext cx="1666875" cy="457200"/>
        </a:xfrm>
        <a:prstGeom prst="roundRect">
          <a:avLst>
            <a:gd name="adj" fmla="val 50000"/>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35719</xdr:colOff>
      <xdr:row>1</xdr:row>
      <xdr:rowOff>35721</xdr:rowOff>
    </xdr:from>
    <xdr:to>
      <xdr:col>20</xdr:col>
      <xdr:colOff>23813</xdr:colOff>
      <xdr:row>1</xdr:row>
      <xdr:rowOff>83344</xdr:rowOff>
    </xdr:to>
    <xdr:cxnSp macro="">
      <xdr:nvCxnSpPr>
        <xdr:cNvPr id="63" name="Straight Connector 62">
          <a:extLst>
            <a:ext uri="{FF2B5EF4-FFF2-40B4-BE49-F238E27FC236}">
              <a16:creationId xmlns:a16="http://schemas.microsoft.com/office/drawing/2014/main" id="{26C95080-7655-7503-5A16-122E907D5631}"/>
            </a:ext>
          </a:extLst>
        </xdr:cNvPr>
        <xdr:cNvCxnSpPr/>
      </xdr:nvCxnSpPr>
      <xdr:spPr>
        <a:xfrm>
          <a:off x="35719" y="452440"/>
          <a:ext cx="14513719" cy="47623"/>
        </a:xfrm>
        <a:prstGeom prst="line">
          <a:avLst/>
        </a:prstGeom>
        <a:noFill/>
        <a:ln>
          <a:solidFill>
            <a:schemeClr val="accent1">
              <a:shade val="15000"/>
              <a:alpha val="59000"/>
            </a:schemeClr>
          </a:solidFill>
        </a:ln>
      </xdr:spPr>
      <xdr:style>
        <a:lnRef idx="2">
          <a:schemeClr val="accent1">
            <a:shade val="15000"/>
          </a:schemeClr>
        </a:lnRef>
        <a:fillRef idx="1">
          <a:schemeClr val="accent1"/>
        </a:fillRef>
        <a:effectRef idx="0">
          <a:schemeClr val="accent1"/>
        </a:effectRef>
        <a:fontRef idx="minor">
          <a:schemeClr val="lt1"/>
        </a:fontRef>
      </xdr:style>
    </xdr:cxnSp>
    <xdr:clientData/>
  </xdr:twoCellAnchor>
  <xdr:twoCellAnchor>
    <xdr:from>
      <xdr:col>17</xdr:col>
      <xdr:colOff>35721</xdr:colOff>
      <xdr:row>0</xdr:row>
      <xdr:rowOff>119064</xdr:rowOff>
    </xdr:from>
    <xdr:to>
      <xdr:col>19</xdr:col>
      <xdr:colOff>23634</xdr:colOff>
      <xdr:row>0</xdr:row>
      <xdr:rowOff>392908</xdr:rowOff>
    </xdr:to>
    <xdr:sp macro="" textlink="">
      <xdr:nvSpPr>
        <xdr:cNvPr id="64" name="TextBox 63">
          <a:extLst>
            <a:ext uri="{FF2B5EF4-FFF2-40B4-BE49-F238E27FC236}">
              <a16:creationId xmlns:a16="http://schemas.microsoft.com/office/drawing/2014/main" id="{7CAA7B10-487D-8E3C-243F-86736AA7325F}"/>
            </a:ext>
          </a:extLst>
        </xdr:cNvPr>
        <xdr:cNvSpPr txBox="1"/>
      </xdr:nvSpPr>
      <xdr:spPr>
        <a:xfrm>
          <a:off x="12489659" y="119064"/>
          <a:ext cx="1369038" cy="273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lumMod val="50000"/>
                </a:schemeClr>
              </a:solidFill>
            </a:rPr>
            <a:t>ThankGod</a:t>
          </a:r>
          <a:r>
            <a:rPr lang="en-US" sz="1100" baseline="0">
              <a:solidFill>
                <a:schemeClr val="bg2">
                  <a:lumMod val="50000"/>
                </a:schemeClr>
              </a:solidFill>
            </a:rPr>
            <a:t> T. Austin</a:t>
          </a:r>
          <a:endParaRPr lang="en-US" sz="1100">
            <a:solidFill>
              <a:schemeClr val="bg2">
                <a:lumMod val="50000"/>
              </a:schemeClr>
            </a:solidFill>
          </a:endParaRPr>
        </a:p>
      </xdr:txBody>
    </xdr:sp>
    <xdr:clientData/>
  </xdr:twoCellAnchor>
  <xdr:twoCellAnchor>
    <xdr:from>
      <xdr:col>8</xdr:col>
      <xdr:colOff>221482</xdr:colOff>
      <xdr:row>21</xdr:row>
      <xdr:rowOff>38150</xdr:rowOff>
    </xdr:from>
    <xdr:to>
      <xdr:col>14</xdr:col>
      <xdr:colOff>28315</xdr:colOff>
      <xdr:row>33</xdr:row>
      <xdr:rowOff>118205</xdr:rowOff>
    </xdr:to>
    <xdr:graphicFrame macro="">
      <xdr:nvGraphicFramePr>
        <xdr:cNvPr id="66" name="Chart 65">
          <a:extLst>
            <a:ext uri="{FF2B5EF4-FFF2-40B4-BE49-F238E27FC236}">
              <a16:creationId xmlns:a16="http://schemas.microsoft.com/office/drawing/2014/main" id="{7915DCD3-732D-1FFB-EF81-AB3E7E48F2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228195</xdr:colOff>
      <xdr:row>8</xdr:row>
      <xdr:rowOff>48689</xdr:rowOff>
    </xdr:from>
    <xdr:to>
      <xdr:col>14</xdr:col>
      <xdr:colOff>38548</xdr:colOff>
      <xdr:row>20</xdr:row>
      <xdr:rowOff>118412</xdr:rowOff>
    </xdr:to>
    <xdr:graphicFrame macro="">
      <xdr:nvGraphicFramePr>
        <xdr:cNvPr id="67" name="Chart 66">
          <a:extLst>
            <a:ext uri="{FF2B5EF4-FFF2-40B4-BE49-F238E27FC236}">
              <a16:creationId xmlns:a16="http://schemas.microsoft.com/office/drawing/2014/main" id="{63B89DBC-76F9-6D85-02DB-9A1581E59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161714</xdr:colOff>
      <xdr:row>8</xdr:row>
      <xdr:rowOff>40302</xdr:rowOff>
    </xdr:from>
    <xdr:to>
      <xdr:col>19</xdr:col>
      <xdr:colOff>659109</xdr:colOff>
      <xdr:row>20</xdr:row>
      <xdr:rowOff>108615</xdr:rowOff>
    </xdr:to>
    <xdr:graphicFrame macro="">
      <xdr:nvGraphicFramePr>
        <xdr:cNvPr id="68" name="Chart 67">
          <a:extLst>
            <a:ext uri="{FF2B5EF4-FFF2-40B4-BE49-F238E27FC236}">
              <a16:creationId xmlns:a16="http://schemas.microsoft.com/office/drawing/2014/main" id="{D5F1C007-5924-14A4-1D87-19D18738BD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1011028</xdr:colOff>
      <xdr:row>21</xdr:row>
      <xdr:rowOff>48482</xdr:rowOff>
    </xdr:from>
    <xdr:to>
      <xdr:col>8</xdr:col>
      <xdr:colOff>103486</xdr:colOff>
      <xdr:row>33</xdr:row>
      <xdr:rowOff>118205</xdr:rowOff>
    </xdr:to>
    <xdr:graphicFrame macro="">
      <xdr:nvGraphicFramePr>
        <xdr:cNvPr id="69" name="Chart 68">
          <a:extLst>
            <a:ext uri="{FF2B5EF4-FFF2-40B4-BE49-F238E27FC236}">
              <a16:creationId xmlns:a16="http://schemas.microsoft.com/office/drawing/2014/main" id="{CB8A78E0-082B-AC82-6520-96256CD3C5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16016</xdr:colOff>
      <xdr:row>1</xdr:row>
      <xdr:rowOff>118234</xdr:rowOff>
    </xdr:from>
    <xdr:to>
      <xdr:col>2</xdr:col>
      <xdr:colOff>973332</xdr:colOff>
      <xdr:row>9</xdr:row>
      <xdr:rowOff>108069</xdr:rowOff>
    </xdr:to>
    <mc:AlternateContent xmlns:mc="http://schemas.openxmlformats.org/markup-compatibility/2006">
      <mc:Choice xmlns:a14="http://schemas.microsoft.com/office/drawing/2010/main" Requires="a14">
        <xdr:graphicFrame macro="">
          <xdr:nvGraphicFramePr>
            <xdr:cNvPr id="70" name="Region">
              <a:extLst>
                <a:ext uri="{FF2B5EF4-FFF2-40B4-BE49-F238E27FC236}">
                  <a16:creationId xmlns:a16="http://schemas.microsoft.com/office/drawing/2014/main" id="{08B26D49-5AD3-7DF5-42D1-972B615195B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016" y="534953"/>
              <a:ext cx="2338441" cy="14185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16</xdr:row>
      <xdr:rowOff>27046</xdr:rowOff>
    </xdr:from>
    <xdr:to>
      <xdr:col>2</xdr:col>
      <xdr:colOff>957316</xdr:colOff>
      <xdr:row>25</xdr:row>
      <xdr:rowOff>122114</xdr:rowOff>
    </xdr:to>
    <mc:AlternateContent xmlns:mc="http://schemas.openxmlformats.org/markup-compatibility/2006">
      <mc:Choice xmlns:a14="http://schemas.microsoft.com/office/drawing/2010/main" Requires="a14">
        <xdr:graphicFrame macro="">
          <xdr:nvGraphicFramePr>
            <xdr:cNvPr id="71" name="Salesperson">
              <a:extLst>
                <a:ext uri="{FF2B5EF4-FFF2-40B4-BE49-F238E27FC236}">
                  <a16:creationId xmlns:a16="http://schemas.microsoft.com/office/drawing/2014/main" id="{B46D520D-9E25-E711-39F1-123252D6BAE2}"/>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0" y="3122671"/>
              <a:ext cx="2338441" cy="17024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16016</xdr:colOff>
      <xdr:row>9</xdr:row>
      <xdr:rowOff>123934</xdr:rowOff>
    </xdr:from>
    <xdr:to>
      <xdr:col>2</xdr:col>
      <xdr:colOff>973332</xdr:colOff>
      <xdr:row>16</xdr:row>
      <xdr:rowOff>186</xdr:rowOff>
    </xdr:to>
    <mc:AlternateContent xmlns:mc="http://schemas.openxmlformats.org/markup-compatibility/2006">
      <mc:Choice xmlns:a14="http://schemas.microsoft.com/office/drawing/2010/main" Requires="a14">
        <xdr:graphicFrame macro="">
          <xdr:nvGraphicFramePr>
            <xdr:cNvPr id="72" name="Category">
              <a:extLst>
                <a:ext uri="{FF2B5EF4-FFF2-40B4-BE49-F238E27FC236}">
                  <a16:creationId xmlns:a16="http://schemas.microsoft.com/office/drawing/2014/main" id="{9C0D2205-EA22-EF35-C6B6-FC9C3F96062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6016" y="1969403"/>
              <a:ext cx="2338441" cy="11264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6294</xdr:colOff>
      <xdr:row>25</xdr:row>
      <xdr:rowOff>130968</xdr:rowOff>
    </xdr:from>
    <xdr:to>
      <xdr:col>2</xdr:col>
      <xdr:colOff>968480</xdr:colOff>
      <xdr:row>33</xdr:row>
      <xdr:rowOff>118205</xdr:rowOff>
    </xdr:to>
    <mc:AlternateContent xmlns:mc="http://schemas.openxmlformats.org/markup-compatibility/2006">
      <mc:Choice xmlns:a14="http://schemas.microsoft.com/office/drawing/2010/main" Requires="a14">
        <xdr:graphicFrame macro="">
          <xdr:nvGraphicFramePr>
            <xdr:cNvPr id="73" name="Payment Method">
              <a:extLst>
                <a:ext uri="{FF2B5EF4-FFF2-40B4-BE49-F238E27FC236}">
                  <a16:creationId xmlns:a16="http://schemas.microsoft.com/office/drawing/2014/main" id="{2C005449-CBC7-8BDA-7CD0-C3408F96DBE2}"/>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6294" y="4833937"/>
              <a:ext cx="2343311" cy="14159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1029635</xdr:colOff>
      <xdr:row>8</xdr:row>
      <xdr:rowOff>52572</xdr:rowOff>
    </xdr:from>
    <xdr:to>
      <xdr:col>8</xdr:col>
      <xdr:colOff>122093</xdr:colOff>
      <xdr:row>20</xdr:row>
      <xdr:rowOff>120885</xdr:rowOff>
    </xdr:to>
    <xdr:graphicFrame macro="">
      <xdr:nvGraphicFramePr>
        <xdr:cNvPr id="74" name="Chart 73">
          <a:extLst>
            <a:ext uri="{FF2B5EF4-FFF2-40B4-BE49-F238E27FC236}">
              <a16:creationId xmlns:a16="http://schemas.microsoft.com/office/drawing/2014/main" id="{98111238-4A84-CB69-2A39-AA04FFD5BB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201119</xdr:colOff>
      <xdr:row>1</xdr:row>
      <xdr:rowOff>106327</xdr:rowOff>
    </xdr:from>
    <xdr:to>
      <xdr:col>19</xdr:col>
      <xdr:colOff>654843</xdr:colOff>
      <xdr:row>7</xdr:row>
      <xdr:rowOff>71000</xdr:rowOff>
    </xdr:to>
    <mc:AlternateContent xmlns:mc="http://schemas.openxmlformats.org/markup-compatibility/2006">
      <mc:Choice xmlns:tsle="http://schemas.microsoft.com/office/drawing/2012/timeslicer" Requires="tsle">
        <xdr:graphicFrame macro="">
          <xdr:nvGraphicFramePr>
            <xdr:cNvPr id="76" name="Date">
              <a:extLst>
                <a:ext uri="{FF2B5EF4-FFF2-40B4-BE49-F238E27FC236}">
                  <a16:creationId xmlns:a16="http://schemas.microsoft.com/office/drawing/2014/main" id="{BEFCDE2B-7BA8-C805-1B36-E54769C212E8}"/>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2655057" y="523046"/>
              <a:ext cx="1834849" cy="103623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xdr:col>
      <xdr:colOff>1024576</xdr:colOff>
      <xdr:row>1</xdr:row>
      <xdr:rowOff>106327</xdr:rowOff>
    </xdr:from>
    <xdr:to>
      <xdr:col>5</xdr:col>
      <xdr:colOff>211365</xdr:colOff>
      <xdr:row>7</xdr:row>
      <xdr:rowOff>131346</xdr:rowOff>
    </xdr:to>
    <xdr:grpSp>
      <xdr:nvGrpSpPr>
        <xdr:cNvPr id="124" name="Group 123">
          <a:extLst>
            <a:ext uri="{FF2B5EF4-FFF2-40B4-BE49-F238E27FC236}">
              <a16:creationId xmlns:a16="http://schemas.microsoft.com/office/drawing/2014/main" id="{7866E848-126D-F457-419D-4FAE18A79940}"/>
            </a:ext>
          </a:extLst>
        </xdr:cNvPr>
        <xdr:cNvGrpSpPr/>
      </xdr:nvGrpSpPr>
      <xdr:grpSpPr>
        <a:xfrm>
          <a:off x="2405701" y="523046"/>
          <a:ext cx="1972852" cy="1096581"/>
          <a:chOff x="2405701" y="534953"/>
          <a:chExt cx="1972852" cy="1096581"/>
        </a:xfrm>
      </xdr:grpSpPr>
      <xdr:sp macro="" textlink="'pivot_Summary '!C4">
        <xdr:nvSpPr>
          <xdr:cNvPr id="83" name="Rectangle: Rounded Corners 82">
            <a:extLst>
              <a:ext uri="{FF2B5EF4-FFF2-40B4-BE49-F238E27FC236}">
                <a16:creationId xmlns:a16="http://schemas.microsoft.com/office/drawing/2014/main" id="{CF950E85-1ACD-DD07-1EED-AA6912222836}"/>
              </a:ext>
            </a:extLst>
          </xdr:cNvPr>
          <xdr:cNvSpPr/>
        </xdr:nvSpPr>
        <xdr:spPr>
          <a:xfrm>
            <a:off x="2405701" y="534953"/>
            <a:ext cx="1972852" cy="1096581"/>
          </a:xfrm>
          <a:prstGeom prst="roundRect">
            <a:avLst/>
          </a:prstGeom>
          <a:gradFill>
            <a:gsLst>
              <a:gs pos="30000">
                <a:schemeClr val="accent1">
                  <a:tint val="66000"/>
                  <a:satMod val="160000"/>
                </a:schemeClr>
              </a:gs>
              <a:gs pos="50000">
                <a:schemeClr val="accent1">
                  <a:tint val="44500"/>
                  <a:satMod val="160000"/>
                </a:schemeClr>
              </a:gs>
              <a:gs pos="100000">
                <a:schemeClr val="accent1">
                  <a:tint val="23500"/>
                  <a:satMod val="160000"/>
                </a:schemeClr>
              </a:gs>
            </a:gsLst>
            <a:lin ang="0" scaled="1"/>
          </a:gradFill>
          <a:ln>
            <a:solidFill>
              <a:schemeClr val="bg2">
                <a:lumMod val="50000"/>
                <a:alpha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a:latin typeface="+mn-lt"/>
            </a:endParaRPr>
          </a:p>
        </xdr:txBody>
      </xdr:sp>
      <xdr:sp macro="" textlink="">
        <xdr:nvSpPr>
          <xdr:cNvPr id="84" name="TextBox 83">
            <a:extLst>
              <a:ext uri="{FF2B5EF4-FFF2-40B4-BE49-F238E27FC236}">
                <a16:creationId xmlns:a16="http://schemas.microsoft.com/office/drawing/2014/main" id="{CB072DF5-9C2E-FBE2-26B4-20A34897AAD3}"/>
              </a:ext>
            </a:extLst>
          </xdr:cNvPr>
          <xdr:cNvSpPr txBox="1"/>
        </xdr:nvSpPr>
        <xdr:spPr>
          <a:xfrm>
            <a:off x="2430870" y="692449"/>
            <a:ext cx="1760130" cy="368904"/>
          </a:xfrm>
          <a:prstGeom prst="rect">
            <a:avLst/>
          </a:prstGeom>
          <a:gradFill>
            <a:gsLst>
              <a:gs pos="30000">
                <a:schemeClr val="accent1">
                  <a:tint val="66000"/>
                  <a:satMod val="160000"/>
                </a:schemeClr>
              </a:gs>
              <a:gs pos="50000">
                <a:schemeClr val="accent1">
                  <a:tint val="44500"/>
                  <a:satMod val="160000"/>
                </a:schemeClr>
              </a:gs>
              <a:gs pos="100000">
                <a:schemeClr val="accent1">
                  <a:tint val="23500"/>
                  <a:satMod val="160000"/>
                </a:schemeClr>
              </a:gs>
            </a:gsLst>
            <a:lin ang="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Total Revenue</a:t>
            </a:r>
          </a:p>
        </xdr:txBody>
      </xdr:sp>
      <xdr:sp macro="" textlink="'pivot_Summary '!$B$4">
        <xdr:nvSpPr>
          <xdr:cNvPr id="85" name="TextBox 84">
            <a:extLst>
              <a:ext uri="{FF2B5EF4-FFF2-40B4-BE49-F238E27FC236}">
                <a16:creationId xmlns:a16="http://schemas.microsoft.com/office/drawing/2014/main" id="{B9A35AD6-8A35-A7C5-721E-C9FB5E0B0DA9}"/>
              </a:ext>
            </a:extLst>
          </xdr:cNvPr>
          <xdr:cNvSpPr txBox="1"/>
        </xdr:nvSpPr>
        <xdr:spPr>
          <a:xfrm>
            <a:off x="2520996" y="1022723"/>
            <a:ext cx="1640287" cy="526497"/>
          </a:xfrm>
          <a:prstGeom prst="rect">
            <a:avLst/>
          </a:prstGeom>
          <a:gradFill>
            <a:gsLst>
              <a:gs pos="30000">
                <a:schemeClr val="accent1">
                  <a:tint val="66000"/>
                  <a:satMod val="160000"/>
                </a:schemeClr>
              </a:gs>
              <a:gs pos="50000">
                <a:schemeClr val="accent1">
                  <a:tint val="44500"/>
                  <a:satMod val="160000"/>
                </a:schemeClr>
              </a:gs>
              <a:gs pos="100000">
                <a:schemeClr val="accent1">
                  <a:tint val="23500"/>
                  <a:satMod val="160000"/>
                </a:schemeClr>
              </a:gs>
            </a:gsLst>
            <a:lin ang="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A38DF22-4585-4508-8C8F-EC169065CE0C}" type="TxLink">
              <a:rPr lang="en-US" sz="2800" b="1" i="0" u="none" strike="noStrike">
                <a:solidFill>
                  <a:srgbClr val="000000"/>
                </a:solidFill>
                <a:latin typeface="Carlito"/>
              </a:rPr>
              <a:t>₦47m</a:t>
            </a:fld>
            <a:endParaRPr lang="en-US" sz="2800" b="1">
              <a:solidFill>
                <a:schemeClr val="tx1"/>
              </a:solidFill>
              <a:latin typeface="+mn-lt"/>
            </a:endParaRPr>
          </a:p>
        </xdr:txBody>
      </xdr:sp>
      <xdr:pic>
        <xdr:nvPicPr>
          <xdr:cNvPr id="110" name="Picture 109">
            <a:extLst>
              <a:ext uri="{FF2B5EF4-FFF2-40B4-BE49-F238E27FC236}">
                <a16:creationId xmlns:a16="http://schemas.microsoft.com/office/drawing/2014/main" id="{AA6E1468-6DE8-34A9-5BAA-CA8107CF0A7E}"/>
              </a:ext>
            </a:extLst>
          </xdr:cNvPr>
          <xdr:cNvPicPr>
            <a:picLocks noChangeAspect="1"/>
          </xdr:cNvPicPr>
        </xdr:nvPicPr>
        <xdr:blipFill>
          <a:blip xmlns:r="http://schemas.openxmlformats.org/officeDocument/2006/relationships" r:embed="rId6"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3976687" y="583406"/>
            <a:ext cx="392907" cy="392907"/>
          </a:xfrm>
          <a:prstGeom prst="rect">
            <a:avLst/>
          </a:prstGeom>
        </xdr:spPr>
      </xdr:pic>
    </xdr:grpSp>
    <xdr:clientData/>
  </xdr:twoCellAnchor>
  <xdr:twoCellAnchor>
    <xdr:from>
      <xdr:col>5</xdr:col>
      <xdr:colOff>285761</xdr:colOff>
      <xdr:row>1</xdr:row>
      <xdr:rowOff>106327</xdr:rowOff>
    </xdr:from>
    <xdr:to>
      <xdr:col>8</xdr:col>
      <xdr:colOff>190205</xdr:colOff>
      <xdr:row>7</xdr:row>
      <xdr:rowOff>131346</xdr:rowOff>
    </xdr:to>
    <xdr:grpSp>
      <xdr:nvGrpSpPr>
        <xdr:cNvPr id="125" name="Group 124">
          <a:extLst>
            <a:ext uri="{FF2B5EF4-FFF2-40B4-BE49-F238E27FC236}">
              <a16:creationId xmlns:a16="http://schemas.microsoft.com/office/drawing/2014/main" id="{EC05B922-F7FD-D598-0798-D690BD97D7A7}"/>
            </a:ext>
          </a:extLst>
        </xdr:cNvPr>
        <xdr:cNvGrpSpPr/>
      </xdr:nvGrpSpPr>
      <xdr:grpSpPr>
        <a:xfrm>
          <a:off x="4452949" y="523046"/>
          <a:ext cx="1976131" cy="1096581"/>
          <a:chOff x="4443418" y="534953"/>
          <a:chExt cx="1976131" cy="1096581"/>
        </a:xfrm>
      </xdr:grpSpPr>
      <xdr:sp macro="" textlink="'pivot_Summary '!C4">
        <xdr:nvSpPr>
          <xdr:cNvPr id="89" name="Rectangle: Rounded Corners 88">
            <a:extLst>
              <a:ext uri="{FF2B5EF4-FFF2-40B4-BE49-F238E27FC236}">
                <a16:creationId xmlns:a16="http://schemas.microsoft.com/office/drawing/2014/main" id="{8CBC2395-04CD-2989-6E23-6C86F21BDF17}"/>
              </a:ext>
            </a:extLst>
          </xdr:cNvPr>
          <xdr:cNvSpPr/>
        </xdr:nvSpPr>
        <xdr:spPr>
          <a:xfrm>
            <a:off x="4443418" y="534953"/>
            <a:ext cx="1976131" cy="1096581"/>
          </a:xfrm>
          <a:prstGeom prst="roundRect">
            <a:avLst/>
          </a:prstGeom>
          <a:gradFill>
            <a:gsLst>
              <a:gs pos="30000">
                <a:schemeClr val="accent1">
                  <a:tint val="66000"/>
                  <a:satMod val="160000"/>
                </a:schemeClr>
              </a:gs>
              <a:gs pos="50000">
                <a:schemeClr val="accent1">
                  <a:tint val="44500"/>
                  <a:satMod val="160000"/>
                </a:schemeClr>
              </a:gs>
              <a:gs pos="100000">
                <a:schemeClr val="accent1">
                  <a:tint val="23500"/>
                  <a:satMod val="160000"/>
                </a:schemeClr>
              </a:gs>
            </a:gsLst>
            <a:lin ang="0" scaled="1"/>
          </a:gradFill>
          <a:ln>
            <a:solidFill>
              <a:schemeClr val="bg2">
                <a:lumMod val="50000"/>
                <a:alpha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a:latin typeface="+mn-lt"/>
            </a:endParaRPr>
          </a:p>
        </xdr:txBody>
      </xdr:sp>
      <xdr:sp macro="" textlink="">
        <xdr:nvSpPr>
          <xdr:cNvPr id="90" name="TextBox 89">
            <a:extLst>
              <a:ext uri="{FF2B5EF4-FFF2-40B4-BE49-F238E27FC236}">
                <a16:creationId xmlns:a16="http://schemas.microsoft.com/office/drawing/2014/main" id="{34421367-9DA9-6213-A2E8-DA75E6C65539}"/>
              </a:ext>
            </a:extLst>
          </xdr:cNvPr>
          <xdr:cNvSpPr txBox="1"/>
        </xdr:nvSpPr>
        <xdr:spPr>
          <a:xfrm>
            <a:off x="4468629" y="692449"/>
            <a:ext cx="1805510" cy="287796"/>
          </a:xfrm>
          <a:prstGeom prst="rect">
            <a:avLst/>
          </a:prstGeom>
          <a:gradFill>
            <a:gsLst>
              <a:gs pos="30000">
                <a:schemeClr val="accent1">
                  <a:tint val="66000"/>
                  <a:satMod val="160000"/>
                </a:schemeClr>
              </a:gs>
              <a:gs pos="50000">
                <a:schemeClr val="accent1">
                  <a:tint val="44500"/>
                  <a:satMod val="160000"/>
                </a:schemeClr>
              </a:gs>
              <a:gs pos="100000">
                <a:schemeClr val="accent1">
                  <a:tint val="23500"/>
                  <a:satMod val="160000"/>
                </a:schemeClr>
              </a:gs>
            </a:gsLst>
            <a:lin ang="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Total Profit</a:t>
            </a:r>
          </a:p>
        </xdr:txBody>
      </xdr:sp>
      <xdr:sp macro="" textlink="'pivot_Summary '!$G$4">
        <xdr:nvSpPr>
          <xdr:cNvPr id="91" name="TextBox 90">
            <a:extLst>
              <a:ext uri="{FF2B5EF4-FFF2-40B4-BE49-F238E27FC236}">
                <a16:creationId xmlns:a16="http://schemas.microsoft.com/office/drawing/2014/main" id="{22EF5697-7A5B-A84B-1A7A-76984B6FB914}"/>
              </a:ext>
            </a:extLst>
          </xdr:cNvPr>
          <xdr:cNvSpPr txBox="1"/>
        </xdr:nvSpPr>
        <xdr:spPr>
          <a:xfrm>
            <a:off x="4582717" y="1022723"/>
            <a:ext cx="1643013" cy="526497"/>
          </a:xfrm>
          <a:prstGeom prst="rect">
            <a:avLst/>
          </a:prstGeom>
          <a:gradFill>
            <a:gsLst>
              <a:gs pos="30000">
                <a:schemeClr val="accent1">
                  <a:tint val="66000"/>
                  <a:satMod val="160000"/>
                </a:schemeClr>
              </a:gs>
              <a:gs pos="50000">
                <a:schemeClr val="accent1">
                  <a:tint val="44500"/>
                  <a:satMod val="160000"/>
                </a:schemeClr>
              </a:gs>
              <a:gs pos="100000">
                <a:schemeClr val="accent1">
                  <a:tint val="23500"/>
                  <a:satMod val="160000"/>
                </a:schemeClr>
              </a:gs>
            </a:gsLst>
            <a:lin ang="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8680CE9-FA13-4501-B05B-3C5DDEEF0055}" type="TxLink">
              <a:rPr lang="en-US" sz="2800" b="1" i="0" u="none" strike="noStrike">
                <a:solidFill>
                  <a:srgbClr val="000000"/>
                </a:solidFill>
                <a:latin typeface="Carlito"/>
              </a:rPr>
              <a:t>₦14m</a:t>
            </a:fld>
            <a:endParaRPr lang="en-US" sz="2800" b="1">
              <a:solidFill>
                <a:schemeClr val="tx1"/>
              </a:solidFill>
              <a:latin typeface="+mn-lt"/>
            </a:endParaRPr>
          </a:p>
        </xdr:txBody>
      </xdr:sp>
      <xdr:pic>
        <xdr:nvPicPr>
          <xdr:cNvPr id="112" name="Picture 111">
            <a:extLst>
              <a:ext uri="{FF2B5EF4-FFF2-40B4-BE49-F238E27FC236}">
                <a16:creationId xmlns:a16="http://schemas.microsoft.com/office/drawing/2014/main" id="{A0493229-1410-FB30-910F-96267AE1993A}"/>
              </a:ext>
            </a:extLst>
          </xdr:cNvPr>
          <xdr:cNvPicPr>
            <a:picLocks noChangeAspect="1"/>
          </xdr:cNvPicPr>
        </xdr:nvPicPr>
        <xdr:blipFill>
          <a:blip xmlns:r="http://schemas.openxmlformats.org/officeDocument/2006/relationships" r:embed="rId7"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5965032" y="630824"/>
            <a:ext cx="392906" cy="392906"/>
          </a:xfrm>
          <a:prstGeom prst="rect">
            <a:avLst/>
          </a:prstGeom>
        </xdr:spPr>
      </xdr:pic>
    </xdr:grpSp>
    <xdr:clientData/>
  </xdr:twoCellAnchor>
  <xdr:twoCellAnchor>
    <xdr:from>
      <xdr:col>11</xdr:col>
      <xdr:colOff>243440</xdr:colOff>
      <xdr:row>1</xdr:row>
      <xdr:rowOff>106327</xdr:rowOff>
    </xdr:from>
    <xdr:to>
      <xdr:col>14</xdr:col>
      <xdr:colOff>147884</xdr:colOff>
      <xdr:row>7</xdr:row>
      <xdr:rowOff>131346</xdr:rowOff>
    </xdr:to>
    <xdr:grpSp>
      <xdr:nvGrpSpPr>
        <xdr:cNvPr id="127" name="Group 126">
          <a:extLst>
            <a:ext uri="{FF2B5EF4-FFF2-40B4-BE49-F238E27FC236}">
              <a16:creationId xmlns:a16="http://schemas.microsoft.com/office/drawing/2014/main" id="{139E4E72-B4AD-0BC1-B2EE-6FE72DD7C992}"/>
            </a:ext>
          </a:extLst>
        </xdr:cNvPr>
        <xdr:cNvGrpSpPr/>
      </xdr:nvGrpSpPr>
      <xdr:grpSpPr>
        <a:xfrm>
          <a:off x="8554003" y="523046"/>
          <a:ext cx="1976131" cy="1096581"/>
          <a:chOff x="8525410" y="534953"/>
          <a:chExt cx="1976131" cy="1096581"/>
        </a:xfrm>
      </xdr:grpSpPr>
      <xdr:sp macro="" textlink="'pivot_Summary '!C4">
        <xdr:nvSpPr>
          <xdr:cNvPr id="92" name="Rectangle: Rounded Corners 91">
            <a:extLst>
              <a:ext uri="{FF2B5EF4-FFF2-40B4-BE49-F238E27FC236}">
                <a16:creationId xmlns:a16="http://schemas.microsoft.com/office/drawing/2014/main" id="{7C0DFE89-AD29-52F8-9F97-5FB84E078C2A}"/>
              </a:ext>
            </a:extLst>
          </xdr:cNvPr>
          <xdr:cNvSpPr/>
        </xdr:nvSpPr>
        <xdr:spPr>
          <a:xfrm>
            <a:off x="8525410" y="534953"/>
            <a:ext cx="1976131" cy="1096581"/>
          </a:xfrm>
          <a:prstGeom prst="roundRect">
            <a:avLst/>
          </a:prstGeom>
          <a:gradFill>
            <a:gsLst>
              <a:gs pos="30000">
                <a:schemeClr val="accent1">
                  <a:tint val="66000"/>
                  <a:satMod val="160000"/>
                </a:schemeClr>
              </a:gs>
              <a:gs pos="50000">
                <a:schemeClr val="accent1">
                  <a:tint val="44500"/>
                  <a:satMod val="160000"/>
                </a:schemeClr>
              </a:gs>
              <a:gs pos="100000">
                <a:schemeClr val="accent1">
                  <a:tint val="23500"/>
                  <a:satMod val="160000"/>
                </a:schemeClr>
              </a:gs>
            </a:gsLst>
            <a:lin ang="0" scaled="1"/>
          </a:gradFill>
          <a:ln>
            <a:solidFill>
              <a:schemeClr val="bg2">
                <a:lumMod val="50000"/>
                <a:alpha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a:latin typeface="+mn-lt"/>
            </a:endParaRPr>
          </a:p>
        </xdr:txBody>
      </xdr:sp>
      <xdr:sp macro="" textlink="">
        <xdr:nvSpPr>
          <xdr:cNvPr id="93" name="TextBox 92">
            <a:extLst>
              <a:ext uri="{FF2B5EF4-FFF2-40B4-BE49-F238E27FC236}">
                <a16:creationId xmlns:a16="http://schemas.microsoft.com/office/drawing/2014/main" id="{23273722-500C-38DA-C2ED-D4ED0D4F14FA}"/>
              </a:ext>
            </a:extLst>
          </xdr:cNvPr>
          <xdr:cNvSpPr txBox="1"/>
        </xdr:nvSpPr>
        <xdr:spPr>
          <a:xfrm>
            <a:off x="8561521" y="692449"/>
            <a:ext cx="1805510" cy="287796"/>
          </a:xfrm>
          <a:prstGeom prst="rect">
            <a:avLst/>
          </a:prstGeom>
          <a:gradFill>
            <a:gsLst>
              <a:gs pos="30000">
                <a:schemeClr val="accent1">
                  <a:tint val="66000"/>
                  <a:satMod val="160000"/>
                </a:schemeClr>
              </a:gs>
              <a:gs pos="50000">
                <a:schemeClr val="accent1">
                  <a:tint val="44500"/>
                  <a:satMod val="160000"/>
                </a:schemeClr>
              </a:gs>
              <a:gs pos="100000">
                <a:schemeClr val="accent1">
                  <a:tint val="23500"/>
                  <a:satMod val="160000"/>
                </a:schemeClr>
              </a:gs>
            </a:gsLst>
            <a:lin ang="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Total Quantity</a:t>
            </a:r>
          </a:p>
        </xdr:txBody>
      </xdr:sp>
      <xdr:sp macro="" textlink="'pivot_Summary '!$E$4">
        <xdr:nvSpPr>
          <xdr:cNvPr id="94" name="TextBox 93">
            <a:extLst>
              <a:ext uri="{FF2B5EF4-FFF2-40B4-BE49-F238E27FC236}">
                <a16:creationId xmlns:a16="http://schemas.microsoft.com/office/drawing/2014/main" id="{D7ADDC3E-F49C-C083-D4A1-2AFB3F177500}"/>
              </a:ext>
            </a:extLst>
          </xdr:cNvPr>
          <xdr:cNvSpPr txBox="1"/>
        </xdr:nvSpPr>
        <xdr:spPr>
          <a:xfrm>
            <a:off x="8651797" y="1069124"/>
            <a:ext cx="1643013" cy="480096"/>
          </a:xfrm>
          <a:prstGeom prst="rect">
            <a:avLst/>
          </a:prstGeom>
          <a:gradFill>
            <a:gsLst>
              <a:gs pos="30000">
                <a:schemeClr val="accent1">
                  <a:tint val="66000"/>
                  <a:satMod val="160000"/>
                </a:schemeClr>
              </a:gs>
              <a:gs pos="50000">
                <a:schemeClr val="accent1">
                  <a:tint val="44500"/>
                  <a:satMod val="160000"/>
                </a:schemeClr>
              </a:gs>
              <a:gs pos="100000">
                <a:schemeClr val="accent1">
                  <a:tint val="23500"/>
                  <a:satMod val="160000"/>
                </a:schemeClr>
              </a:gs>
            </a:gsLst>
            <a:lin ang="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2CBD6FD-E573-464F-B8E0-A7915A75478C}" type="TxLink">
              <a:rPr lang="en-US" sz="2800" b="1" i="0" u="none" strike="noStrike">
                <a:solidFill>
                  <a:srgbClr val="000000"/>
                </a:solidFill>
                <a:latin typeface="Carlito"/>
              </a:rPr>
              <a:t>315</a:t>
            </a:fld>
            <a:endParaRPr lang="en-US" sz="2800" b="1">
              <a:solidFill>
                <a:schemeClr val="tx1"/>
              </a:solidFill>
              <a:latin typeface="+mn-lt"/>
            </a:endParaRPr>
          </a:p>
        </xdr:txBody>
      </xdr:sp>
      <xdr:pic>
        <xdr:nvPicPr>
          <xdr:cNvPr id="114" name="Picture 113">
            <a:extLst>
              <a:ext uri="{FF2B5EF4-FFF2-40B4-BE49-F238E27FC236}">
                <a16:creationId xmlns:a16="http://schemas.microsoft.com/office/drawing/2014/main" id="{CA5363C5-06B8-E545-0EC9-E51C946D89F7}"/>
              </a:ext>
            </a:extLst>
          </xdr:cNvPr>
          <xdr:cNvPicPr>
            <a:picLocks noChangeAspect="1"/>
          </xdr:cNvPicPr>
        </xdr:nvPicPr>
        <xdr:blipFill>
          <a:blip xmlns:r="http://schemas.openxmlformats.org/officeDocument/2006/relationships" r:embed="rId8" cstate="print">
            <a:duotone>
              <a:prstClr val="black"/>
              <a:srgbClr val="D9C3A5">
                <a:tint val="50000"/>
                <a:satMod val="180000"/>
              </a:srgbClr>
            </a:duotone>
            <a:extLst>
              <a:ext uri="{28A0092B-C50C-407E-A947-70E740481C1C}">
                <a14:useLocalDpi xmlns:a14="http://schemas.microsoft.com/office/drawing/2010/main" val="0"/>
              </a:ext>
            </a:extLst>
          </a:blip>
          <a:stretch>
            <a:fillRect/>
          </a:stretch>
        </xdr:blipFill>
        <xdr:spPr>
          <a:xfrm>
            <a:off x="10060783" y="714377"/>
            <a:ext cx="393192" cy="393192"/>
          </a:xfrm>
          <a:prstGeom prst="rect">
            <a:avLst/>
          </a:prstGeom>
        </xdr:spPr>
      </xdr:pic>
    </xdr:grpSp>
    <xdr:clientData/>
  </xdr:twoCellAnchor>
  <xdr:twoCellAnchor>
    <xdr:from>
      <xdr:col>8</xdr:col>
      <xdr:colOff>264601</xdr:colOff>
      <xdr:row>1</xdr:row>
      <xdr:rowOff>106327</xdr:rowOff>
    </xdr:from>
    <xdr:to>
      <xdr:col>11</xdr:col>
      <xdr:colOff>169044</xdr:colOff>
      <xdr:row>7</xdr:row>
      <xdr:rowOff>131346</xdr:rowOff>
    </xdr:to>
    <xdr:grpSp>
      <xdr:nvGrpSpPr>
        <xdr:cNvPr id="126" name="Group 125">
          <a:extLst>
            <a:ext uri="{FF2B5EF4-FFF2-40B4-BE49-F238E27FC236}">
              <a16:creationId xmlns:a16="http://schemas.microsoft.com/office/drawing/2014/main" id="{249A62A6-4F5C-7924-C5BF-D0F20A900DDB}"/>
            </a:ext>
          </a:extLst>
        </xdr:cNvPr>
        <xdr:cNvGrpSpPr/>
      </xdr:nvGrpSpPr>
      <xdr:grpSpPr>
        <a:xfrm>
          <a:off x="6503476" y="523046"/>
          <a:ext cx="1976131" cy="1096581"/>
          <a:chOff x="6484414" y="534953"/>
          <a:chExt cx="1976131" cy="1096581"/>
        </a:xfrm>
      </xdr:grpSpPr>
      <xdr:sp macro="" textlink="'pivot_Summary '!C4">
        <xdr:nvSpPr>
          <xdr:cNvPr id="95" name="Rectangle: Rounded Corners 94">
            <a:extLst>
              <a:ext uri="{FF2B5EF4-FFF2-40B4-BE49-F238E27FC236}">
                <a16:creationId xmlns:a16="http://schemas.microsoft.com/office/drawing/2014/main" id="{CD90D549-425C-C768-07AB-94FAAE5B5C4B}"/>
              </a:ext>
            </a:extLst>
          </xdr:cNvPr>
          <xdr:cNvSpPr/>
        </xdr:nvSpPr>
        <xdr:spPr>
          <a:xfrm>
            <a:off x="6484414" y="534953"/>
            <a:ext cx="1976131" cy="1096581"/>
          </a:xfrm>
          <a:prstGeom prst="roundRect">
            <a:avLst/>
          </a:prstGeom>
          <a:gradFill>
            <a:gsLst>
              <a:gs pos="30000">
                <a:schemeClr val="accent1">
                  <a:tint val="66000"/>
                  <a:satMod val="160000"/>
                </a:schemeClr>
              </a:gs>
              <a:gs pos="50000">
                <a:schemeClr val="accent1">
                  <a:tint val="44500"/>
                  <a:satMod val="160000"/>
                </a:schemeClr>
              </a:gs>
              <a:gs pos="100000">
                <a:schemeClr val="accent1">
                  <a:tint val="23500"/>
                  <a:satMod val="160000"/>
                </a:schemeClr>
              </a:gs>
            </a:gsLst>
            <a:lin ang="0" scaled="1"/>
          </a:gradFill>
          <a:ln>
            <a:solidFill>
              <a:schemeClr val="bg2">
                <a:lumMod val="50000"/>
                <a:alpha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a:latin typeface="+mn-lt"/>
            </a:endParaRPr>
          </a:p>
        </xdr:txBody>
      </xdr:sp>
      <xdr:sp macro="" textlink="">
        <xdr:nvSpPr>
          <xdr:cNvPr id="96" name="TextBox 95">
            <a:extLst>
              <a:ext uri="{FF2B5EF4-FFF2-40B4-BE49-F238E27FC236}">
                <a16:creationId xmlns:a16="http://schemas.microsoft.com/office/drawing/2014/main" id="{8FE1250B-2BBC-9F01-62B2-D8F6B536F504}"/>
              </a:ext>
            </a:extLst>
          </xdr:cNvPr>
          <xdr:cNvSpPr txBox="1"/>
        </xdr:nvSpPr>
        <xdr:spPr>
          <a:xfrm>
            <a:off x="6520525" y="692449"/>
            <a:ext cx="1805510" cy="287796"/>
          </a:xfrm>
          <a:prstGeom prst="rect">
            <a:avLst/>
          </a:prstGeom>
          <a:gradFill>
            <a:gsLst>
              <a:gs pos="30000">
                <a:schemeClr val="accent1">
                  <a:tint val="66000"/>
                  <a:satMod val="160000"/>
                </a:schemeClr>
              </a:gs>
              <a:gs pos="50000">
                <a:schemeClr val="accent1">
                  <a:tint val="44500"/>
                  <a:satMod val="160000"/>
                </a:schemeClr>
              </a:gs>
              <a:gs pos="100000">
                <a:schemeClr val="accent1">
                  <a:tint val="23500"/>
                  <a:satMod val="160000"/>
                </a:schemeClr>
              </a:gs>
            </a:gsLst>
            <a:lin ang="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Number</a:t>
            </a:r>
            <a:r>
              <a:rPr lang="en-US" sz="1400" b="1" baseline="0"/>
              <a:t> of Orders</a:t>
            </a:r>
            <a:endParaRPr lang="en-US" sz="1400" b="1"/>
          </a:p>
        </xdr:txBody>
      </xdr:sp>
      <xdr:sp macro="" textlink="'pivot_Summary '!$I$4">
        <xdr:nvSpPr>
          <xdr:cNvPr id="97" name="TextBox 96">
            <a:extLst>
              <a:ext uri="{FF2B5EF4-FFF2-40B4-BE49-F238E27FC236}">
                <a16:creationId xmlns:a16="http://schemas.microsoft.com/office/drawing/2014/main" id="{7FF48FA5-69FE-B4AE-76FC-838F7DE8EE6D}"/>
              </a:ext>
            </a:extLst>
          </xdr:cNvPr>
          <xdr:cNvSpPr txBox="1"/>
        </xdr:nvSpPr>
        <xdr:spPr>
          <a:xfrm>
            <a:off x="6622707" y="1069124"/>
            <a:ext cx="1643013" cy="480096"/>
          </a:xfrm>
          <a:prstGeom prst="rect">
            <a:avLst/>
          </a:prstGeom>
          <a:gradFill>
            <a:gsLst>
              <a:gs pos="30000">
                <a:schemeClr val="accent1">
                  <a:tint val="66000"/>
                  <a:satMod val="160000"/>
                </a:schemeClr>
              </a:gs>
              <a:gs pos="50000">
                <a:schemeClr val="accent1">
                  <a:tint val="44500"/>
                  <a:satMod val="160000"/>
                </a:schemeClr>
              </a:gs>
              <a:gs pos="100000">
                <a:schemeClr val="accent1">
                  <a:tint val="23500"/>
                  <a:satMod val="160000"/>
                </a:schemeClr>
              </a:gs>
            </a:gsLst>
            <a:lin ang="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65F1848-4F02-471E-BD0B-57FBE7B37352}" type="TxLink">
              <a:rPr lang="en-US" sz="2800" b="1" i="0" u="none" strike="noStrike">
                <a:solidFill>
                  <a:srgbClr val="000000"/>
                </a:solidFill>
                <a:latin typeface="Carlito"/>
              </a:rPr>
              <a:t>100</a:t>
            </a:fld>
            <a:endParaRPr lang="en-US" sz="2800" b="1">
              <a:solidFill>
                <a:schemeClr val="tx1"/>
              </a:solidFill>
              <a:latin typeface="+mn-lt"/>
            </a:endParaRPr>
          </a:p>
        </xdr:txBody>
      </xdr:sp>
      <xdr:pic>
        <xdr:nvPicPr>
          <xdr:cNvPr id="116" name="Picture 115">
            <a:extLst>
              <a:ext uri="{FF2B5EF4-FFF2-40B4-BE49-F238E27FC236}">
                <a16:creationId xmlns:a16="http://schemas.microsoft.com/office/drawing/2014/main" id="{DC2F2229-E305-E8C4-778A-F1C282E4B175}"/>
              </a:ext>
            </a:extLst>
          </xdr:cNvPr>
          <xdr:cNvPicPr>
            <a:picLocks noChangeAspect="1"/>
          </xdr:cNvPicPr>
        </xdr:nvPicPr>
        <xdr:blipFill>
          <a:blip xmlns:r="http://schemas.openxmlformats.org/officeDocument/2006/relationships" r:embed="rId9" cstate="print">
            <a:duotone>
              <a:prstClr val="black"/>
              <a:srgbClr val="D9C3A5">
                <a:tint val="50000"/>
                <a:satMod val="180000"/>
              </a:srgbClr>
            </a:duotone>
            <a:extLst>
              <a:ext uri="{28A0092B-C50C-407E-A947-70E740481C1C}">
                <a14:useLocalDpi xmlns:a14="http://schemas.microsoft.com/office/drawing/2010/main" val="0"/>
              </a:ext>
            </a:extLst>
          </a:blip>
          <a:stretch>
            <a:fillRect/>
          </a:stretch>
        </xdr:blipFill>
        <xdr:spPr>
          <a:xfrm>
            <a:off x="8024814" y="631034"/>
            <a:ext cx="393192" cy="393192"/>
          </a:xfrm>
          <a:prstGeom prst="rect">
            <a:avLst/>
          </a:prstGeom>
        </xdr:spPr>
      </xdr:pic>
    </xdr:grpSp>
    <xdr:clientData/>
  </xdr:twoCellAnchor>
  <xdr:twoCellAnchor>
    <xdr:from>
      <xdr:col>14</xdr:col>
      <xdr:colOff>222280</xdr:colOff>
      <xdr:row>1</xdr:row>
      <xdr:rowOff>106327</xdr:rowOff>
    </xdr:from>
    <xdr:to>
      <xdr:col>17</xdr:col>
      <xdr:colOff>126723</xdr:colOff>
      <xdr:row>7</xdr:row>
      <xdr:rowOff>131346</xdr:rowOff>
    </xdr:to>
    <xdr:grpSp>
      <xdr:nvGrpSpPr>
        <xdr:cNvPr id="1026" name="Group 1025">
          <a:extLst>
            <a:ext uri="{FF2B5EF4-FFF2-40B4-BE49-F238E27FC236}">
              <a16:creationId xmlns:a16="http://schemas.microsoft.com/office/drawing/2014/main" id="{A85EEB31-5779-9FDA-84E8-7A4717ECC208}"/>
            </a:ext>
          </a:extLst>
        </xdr:cNvPr>
        <xdr:cNvGrpSpPr/>
      </xdr:nvGrpSpPr>
      <xdr:grpSpPr>
        <a:xfrm>
          <a:off x="10604530" y="523046"/>
          <a:ext cx="1976131" cy="1096581"/>
          <a:chOff x="12607404" y="534953"/>
          <a:chExt cx="1976131" cy="1096581"/>
        </a:xfrm>
      </xdr:grpSpPr>
      <xdr:sp macro="" textlink="'pivot_Summary '!C4">
        <xdr:nvSpPr>
          <xdr:cNvPr id="98" name="Rectangle: Rounded Corners 97">
            <a:extLst>
              <a:ext uri="{FF2B5EF4-FFF2-40B4-BE49-F238E27FC236}">
                <a16:creationId xmlns:a16="http://schemas.microsoft.com/office/drawing/2014/main" id="{AA65DB69-139A-42E9-0159-7D9BAD128369}"/>
              </a:ext>
            </a:extLst>
          </xdr:cNvPr>
          <xdr:cNvSpPr/>
        </xdr:nvSpPr>
        <xdr:spPr>
          <a:xfrm>
            <a:off x="12607404" y="534953"/>
            <a:ext cx="1976131" cy="1096581"/>
          </a:xfrm>
          <a:prstGeom prst="roundRect">
            <a:avLst/>
          </a:prstGeom>
          <a:gradFill>
            <a:gsLst>
              <a:gs pos="30000">
                <a:schemeClr val="accent1">
                  <a:tint val="66000"/>
                  <a:satMod val="160000"/>
                </a:schemeClr>
              </a:gs>
              <a:gs pos="50000">
                <a:schemeClr val="accent1">
                  <a:tint val="44500"/>
                  <a:satMod val="160000"/>
                </a:schemeClr>
              </a:gs>
              <a:gs pos="100000">
                <a:schemeClr val="accent1">
                  <a:tint val="23500"/>
                  <a:satMod val="160000"/>
                </a:schemeClr>
              </a:gs>
            </a:gsLst>
            <a:lin ang="0" scaled="1"/>
          </a:gradFill>
          <a:ln>
            <a:solidFill>
              <a:schemeClr val="bg2">
                <a:lumMod val="50000"/>
                <a:alpha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a:latin typeface="+mn-lt"/>
            </a:endParaRPr>
          </a:p>
        </xdr:txBody>
      </xdr:sp>
      <xdr:sp macro="" textlink="">
        <xdr:nvSpPr>
          <xdr:cNvPr id="99" name="TextBox 98">
            <a:extLst>
              <a:ext uri="{FF2B5EF4-FFF2-40B4-BE49-F238E27FC236}">
                <a16:creationId xmlns:a16="http://schemas.microsoft.com/office/drawing/2014/main" id="{0BC6558C-3542-097C-F3F5-3BB9CC61868E}"/>
              </a:ext>
            </a:extLst>
          </xdr:cNvPr>
          <xdr:cNvSpPr txBox="1"/>
        </xdr:nvSpPr>
        <xdr:spPr>
          <a:xfrm>
            <a:off x="12655423" y="692449"/>
            <a:ext cx="1805510" cy="287796"/>
          </a:xfrm>
          <a:prstGeom prst="rect">
            <a:avLst/>
          </a:prstGeom>
          <a:gradFill>
            <a:gsLst>
              <a:gs pos="30000">
                <a:schemeClr val="accent1">
                  <a:tint val="66000"/>
                  <a:satMod val="160000"/>
                </a:schemeClr>
              </a:gs>
              <a:gs pos="50000">
                <a:schemeClr val="accent1">
                  <a:tint val="44500"/>
                  <a:satMod val="160000"/>
                </a:schemeClr>
              </a:gs>
              <a:gs pos="100000">
                <a:schemeClr val="accent1">
                  <a:tint val="23500"/>
                  <a:satMod val="160000"/>
                </a:schemeClr>
              </a:gs>
            </a:gsLst>
            <a:lin ang="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Profit</a:t>
            </a:r>
            <a:r>
              <a:rPr lang="en-US" sz="1600" b="1" baseline="0"/>
              <a:t> Margin</a:t>
            </a:r>
            <a:endParaRPr lang="en-US" sz="1600" b="1"/>
          </a:p>
        </xdr:txBody>
      </xdr:sp>
      <xdr:sp macro="" textlink="'pivot_Summary '!$K$4">
        <xdr:nvSpPr>
          <xdr:cNvPr id="100" name="TextBox 99">
            <a:extLst>
              <a:ext uri="{FF2B5EF4-FFF2-40B4-BE49-F238E27FC236}">
                <a16:creationId xmlns:a16="http://schemas.microsoft.com/office/drawing/2014/main" id="{22BEEA68-367E-23DC-5441-9605AB61D2F6}"/>
              </a:ext>
            </a:extLst>
          </xdr:cNvPr>
          <xdr:cNvSpPr txBox="1"/>
        </xdr:nvSpPr>
        <xdr:spPr>
          <a:xfrm>
            <a:off x="12733791" y="1069124"/>
            <a:ext cx="1643013" cy="480096"/>
          </a:xfrm>
          <a:prstGeom prst="rect">
            <a:avLst/>
          </a:prstGeom>
          <a:gradFill>
            <a:gsLst>
              <a:gs pos="30000">
                <a:schemeClr val="accent1">
                  <a:tint val="66000"/>
                  <a:satMod val="160000"/>
                </a:schemeClr>
              </a:gs>
              <a:gs pos="50000">
                <a:schemeClr val="accent1">
                  <a:tint val="44500"/>
                  <a:satMod val="160000"/>
                </a:schemeClr>
              </a:gs>
              <a:gs pos="100000">
                <a:schemeClr val="accent1">
                  <a:tint val="23500"/>
                  <a:satMod val="160000"/>
                </a:schemeClr>
              </a:gs>
            </a:gsLst>
            <a:lin ang="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09587C6-AAA4-496F-99B3-E2C2A4A601C9}" type="TxLink">
              <a:rPr lang="en-US" sz="2800" b="1" i="0" u="none" strike="noStrike">
                <a:solidFill>
                  <a:srgbClr val="000000"/>
                </a:solidFill>
                <a:latin typeface="Carlito"/>
              </a:rPr>
              <a:t>30%</a:t>
            </a:fld>
            <a:endParaRPr lang="en-US" sz="2800" b="1">
              <a:solidFill>
                <a:schemeClr val="tx1"/>
              </a:solidFill>
              <a:latin typeface="+mn-lt"/>
            </a:endParaRPr>
          </a:p>
        </xdr:txBody>
      </xdr:sp>
      <xdr:pic>
        <xdr:nvPicPr>
          <xdr:cNvPr id="118" name="Picture 117">
            <a:extLst>
              <a:ext uri="{FF2B5EF4-FFF2-40B4-BE49-F238E27FC236}">
                <a16:creationId xmlns:a16="http://schemas.microsoft.com/office/drawing/2014/main" id="{DC473C13-DD52-BBDF-28FA-A02FDE7B47F5}"/>
              </a:ext>
            </a:extLst>
          </xdr:cNvPr>
          <xdr:cNvPicPr>
            <a:picLocks noChangeAspect="1"/>
          </xdr:cNvPicPr>
        </xdr:nvPicPr>
        <xdr:blipFill>
          <a:blip xmlns:r="http://schemas.openxmlformats.org/officeDocument/2006/relationships" r:embed="rId10"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14180343" y="690562"/>
            <a:ext cx="392906" cy="392906"/>
          </a:xfrm>
          <a:prstGeom prst="rect">
            <a:avLst/>
          </a:prstGeom>
        </xdr:spPr>
      </xdr:pic>
    </xdr:grpSp>
    <xdr:clientData/>
  </xdr:twoCellAnchor>
  <xdr:twoCellAnchor>
    <xdr:from>
      <xdr:col>18</xdr:col>
      <xdr:colOff>654847</xdr:colOff>
      <xdr:row>0</xdr:row>
      <xdr:rowOff>47628</xdr:rowOff>
    </xdr:from>
    <xdr:to>
      <xdr:col>19</xdr:col>
      <xdr:colOff>488156</xdr:colOff>
      <xdr:row>1</xdr:row>
      <xdr:rowOff>47624</xdr:rowOff>
    </xdr:to>
    <xdr:graphicFrame macro="">
      <xdr:nvGraphicFramePr>
        <xdr:cNvPr id="123" name="Chart 122">
          <a:extLst>
            <a:ext uri="{FF2B5EF4-FFF2-40B4-BE49-F238E27FC236}">
              <a16:creationId xmlns:a16="http://schemas.microsoft.com/office/drawing/2014/main" id="{AEBF864A-E6E8-4B96-B864-90E568BCA0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154782</xdr:colOff>
      <xdr:row>21</xdr:row>
      <xdr:rowOff>48482</xdr:rowOff>
    </xdr:from>
    <xdr:to>
      <xdr:col>19</xdr:col>
      <xdr:colOff>652177</xdr:colOff>
      <xdr:row>33</xdr:row>
      <xdr:rowOff>118205</xdr:rowOff>
    </xdr:to>
    <xdr:graphicFrame macro="">
      <xdr:nvGraphicFramePr>
        <xdr:cNvPr id="1027" name="Chart 1026">
          <a:extLst>
            <a:ext uri="{FF2B5EF4-FFF2-40B4-BE49-F238E27FC236}">
              <a16:creationId xmlns:a16="http://schemas.microsoft.com/office/drawing/2014/main" id="{76AC9CCE-007F-4ECE-A4DF-9A7CBC1801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1</cdr:x>
      <cdr:y>1</cdr:y>
    </cdr:to>
    <cdr:pic>
      <cdr:nvPicPr>
        <cdr:cNvPr id="3" name="Picture 2">
          <a:extLst xmlns:a="http://schemas.openxmlformats.org/drawingml/2006/main">
            <a:ext uri="{FF2B5EF4-FFF2-40B4-BE49-F238E27FC236}">
              <a16:creationId xmlns:a16="http://schemas.microsoft.com/office/drawing/2014/main" id="{4D98A40F-5E7C-DA8D-8BDA-6AFF371F390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0" y="0"/>
          <a:ext cx="523872" cy="416715"/>
        </a:xfrm>
        <a:prstGeom xmlns:a="http://schemas.openxmlformats.org/drawingml/2006/main" prst="rect">
          <a:avLst/>
        </a:prstGeom>
        <a:ln xmlns:a="http://schemas.openxmlformats.org/drawingml/2006/main">
          <a:noFill/>
        </a:ln>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nkGod T Austin" refreshedDate="46203.655896296295" createdVersion="8" refreshedVersion="8" minRefreshableVersion="3" recordCount="160" xr:uid="{352B8734-5151-4CCB-9B39-454A31BB33B3}">
  <cacheSource type="worksheet">
    <worksheetSource name="Sales_Data"/>
  </cacheSource>
  <cacheFields count="17">
    <cacheField name="Order ID" numFmtId="0">
      <sharedItems/>
    </cacheField>
    <cacheField name="Date" numFmtId="14">
      <sharedItems containsSemiMixedTypes="0" containsNonDate="0" containsDate="1" containsString="0" minDate="2026-01-02T00:00:00" maxDate="2026-06-29T00:00:00" count="110">
        <d v="2026-04-26T00:00:00"/>
        <d v="2026-05-17T00:00:00"/>
        <d v="2026-05-14T00:00:00"/>
        <d v="2026-05-26T00:00:00"/>
        <d v="2026-04-10T00:00:00"/>
        <d v="2026-05-27T00:00:00"/>
        <d v="2026-02-27T00:00:00"/>
        <d v="2026-01-05T00:00:00"/>
        <d v="2026-01-26T00:00:00"/>
        <d v="2026-01-02T00:00:00"/>
        <d v="2026-04-09T00:00:00"/>
        <d v="2026-03-03T00:00:00"/>
        <d v="2026-04-01T00:00:00"/>
        <d v="2026-01-07T00:00:00"/>
        <d v="2026-04-15T00:00:00"/>
        <d v="2026-03-09T00:00:00"/>
        <d v="2026-05-21T00:00:00"/>
        <d v="2026-06-17T00:00:00"/>
        <d v="2026-02-01T00:00:00"/>
        <d v="2026-03-16T00:00:00"/>
        <d v="2026-02-08T00:00:00"/>
        <d v="2026-01-13T00:00:00"/>
        <d v="2026-05-31T00:00:00"/>
        <d v="2026-03-25T00:00:00"/>
        <d v="2026-06-04T00:00:00"/>
        <d v="2026-03-17T00:00:00"/>
        <d v="2026-06-20T00:00:00"/>
        <d v="2026-06-10T00:00:00"/>
        <d v="2026-04-21T00:00:00"/>
        <d v="2026-04-04T00:00:00"/>
        <d v="2026-06-01T00:00:00"/>
        <d v="2026-06-05T00:00:00"/>
        <d v="2026-04-23T00:00:00"/>
        <d v="2026-02-11T00:00:00"/>
        <d v="2026-05-28T00:00:00"/>
        <d v="2026-02-07T00:00:00"/>
        <d v="2026-03-21T00:00:00"/>
        <d v="2026-03-08T00:00:00"/>
        <d v="2026-04-24T00:00:00"/>
        <d v="2026-05-20T00:00:00"/>
        <d v="2026-06-27T00:00:00"/>
        <d v="2026-05-30T00:00:00"/>
        <d v="2026-06-22T00:00:00"/>
        <d v="2026-03-11T00:00:00"/>
        <d v="2026-03-22T00:00:00"/>
        <d v="2026-02-10T00:00:00"/>
        <d v="2026-01-17T00:00:00"/>
        <d v="2026-04-13T00:00:00"/>
        <d v="2026-05-13T00:00:00"/>
        <d v="2026-01-04T00:00:00"/>
        <d v="2026-02-16T00:00:00"/>
        <d v="2026-01-30T00:00:00"/>
        <d v="2026-05-03T00:00:00"/>
        <d v="2026-03-05T00:00:00"/>
        <d v="2026-03-29T00:00:00"/>
        <d v="2026-01-21T00:00:00"/>
        <d v="2026-03-14T00:00:00"/>
        <d v="2026-05-19T00:00:00"/>
        <d v="2026-04-05T00:00:00"/>
        <d v="2026-06-12T00:00:00"/>
        <d v="2026-01-20T00:00:00"/>
        <d v="2026-04-14T00:00:00"/>
        <d v="2026-05-22T00:00:00"/>
        <d v="2026-02-05T00:00:00"/>
        <d v="2026-01-11T00:00:00"/>
        <d v="2026-05-05T00:00:00"/>
        <d v="2026-03-24T00:00:00"/>
        <d v="2026-05-08T00:00:00"/>
        <d v="2026-01-31T00:00:00"/>
        <d v="2026-02-09T00:00:00"/>
        <d v="2026-06-02T00:00:00"/>
        <d v="2026-02-19T00:00:00"/>
        <d v="2026-02-14T00:00:00"/>
        <d v="2026-02-15T00:00:00"/>
        <d v="2026-02-17T00:00:00"/>
        <d v="2026-04-06T00:00:00"/>
        <d v="2026-06-13T00:00:00"/>
        <d v="2026-01-27T00:00:00"/>
        <d v="2026-03-23T00:00:00"/>
        <d v="2026-06-28T00:00:00"/>
        <d v="2026-06-03T00:00:00"/>
        <d v="2026-02-04T00:00:00"/>
        <d v="2026-06-08T00:00:00"/>
        <d v="2026-05-02T00:00:00"/>
        <d v="2026-03-07T00:00:00"/>
        <d v="2026-01-10T00:00:00"/>
        <d v="2026-01-14T00:00:00"/>
        <d v="2026-01-23T00:00:00"/>
        <d v="2026-01-24T00:00:00"/>
        <d v="2026-02-28T00:00:00"/>
        <d v="2026-01-03T00:00:00"/>
        <d v="2026-01-16T00:00:00"/>
        <d v="2026-03-20T00:00:00"/>
        <d v="2026-03-18T00:00:00"/>
        <d v="2026-02-25T00:00:00"/>
        <d v="2026-02-03T00:00:00"/>
        <d v="2026-05-06T00:00:00"/>
        <d v="2026-05-16T00:00:00"/>
        <d v="2026-03-01T00:00:00"/>
        <d v="2026-05-29T00:00:00"/>
        <d v="2026-01-18T00:00:00"/>
        <d v="2026-05-07T00:00:00"/>
        <d v="2026-06-15T00:00:00"/>
        <d v="2026-04-17T00:00:00"/>
        <d v="2026-03-30T00:00:00"/>
        <d v="2026-03-13T00:00:00"/>
        <d v="2026-04-30T00:00:00"/>
        <d v="2026-05-01T00:00:00"/>
        <d v="2026-04-12T00:00:00"/>
        <d v="2026-06-07T00:00:00"/>
      </sharedItems>
      <fieldGroup par="14"/>
    </cacheField>
    <cacheField name="Region" numFmtId="0">
      <sharedItems count="8">
        <s v="Uyo"/>
        <s v="Lagos"/>
        <s v="Enugu"/>
        <s v="Kano"/>
        <s v="Calabar"/>
        <s v="Ibadan"/>
        <s v="Port Harcourt"/>
        <s v="Abuja"/>
      </sharedItems>
    </cacheField>
    <cacheField name="Salesperson" numFmtId="0">
      <sharedItems count="10">
        <s v="Uche"/>
        <s v="Tunde"/>
        <s v="Bola"/>
        <s v="Mariam"/>
        <s v="Ibrahim"/>
        <s v="Ada"/>
        <s v="Kunle"/>
        <s v="Chika"/>
        <s v="Nneka"/>
        <s v="Sade"/>
      </sharedItems>
    </cacheField>
    <cacheField name="Product" numFmtId="0">
      <sharedItems count="16">
        <s v="Mouse"/>
        <s v="Standing Desk"/>
        <s v="Office Chair"/>
        <s v="Monitor 27"/>
        <s v="Router"/>
        <s v="Keyboard"/>
        <s v="Headset"/>
        <s v="Laptop Pro 14"/>
        <s v="Barcode Scanner"/>
        <s v="Printer"/>
        <s v="Laptop Air 13"/>
        <s v="Webcam"/>
        <s v="POS Terminal"/>
        <s v="Android Phone"/>
        <s v="Tablet 10"/>
        <s v="Monitor 24"/>
      </sharedItems>
    </cacheField>
    <cacheField name="Category" numFmtId="0">
      <sharedItems count="5">
        <s v="Accessories"/>
        <s v="Home Office"/>
        <s v="Networking"/>
        <s v="Electronics"/>
        <s v="Business Tools"/>
      </sharedItems>
    </cacheField>
    <cacheField name="Quantity" numFmtId="0">
      <sharedItems containsSemiMixedTypes="0" containsString="0" containsNumber="1" containsInteger="1" minValue="1" maxValue="10"/>
    </cacheField>
    <cacheField name="Unit Price" numFmtId="165">
      <sharedItems containsSemiMixedTypes="0" containsString="0" containsNumber="1" containsInteger="1" minValue="13300" maxValue="803700"/>
    </cacheField>
    <cacheField name="Revenue" numFmtId="165">
      <sharedItems containsSemiMixedTypes="0" containsString="0" containsNumber="1" containsInteger="1" minValue="13300" maxValue="7699000"/>
    </cacheField>
    <cacheField name="Cost" numFmtId="165">
      <sharedItems containsSemiMixedTypes="0" containsString="0" containsNumber="1" containsInteger="1" minValue="7200" maxValue="5813000"/>
    </cacheField>
    <cacheField name="Profit" numFmtId="165">
      <sharedItems containsSemiMixedTypes="0" containsString="0" containsNumber="1" containsInteger="1" minValue="6100" maxValue="1886000"/>
    </cacheField>
    <cacheField name="Payment Method" numFmtId="0">
      <sharedItems count="4">
        <s v="Transfer"/>
        <s v="POS"/>
        <s v="Card"/>
        <s v="Cash"/>
      </sharedItems>
    </cacheField>
    <cacheField name="Status" numFmtId="0">
      <sharedItems count="4">
        <s v="Completed"/>
        <s v="Returned"/>
        <s v="Cancelled"/>
        <s v="Pending"/>
      </sharedItems>
    </cacheField>
    <cacheField name="Days (Date)" numFmtId="0" databaseField="0">
      <fieldGroup base="1">
        <rangePr groupBy="days" startDate="2026-01-02T00:00:00" endDate="2026-06-29T00:00:00"/>
        <groupItems count="368">
          <s v="&lt;1/2/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29/2026"/>
        </groupItems>
      </fieldGroup>
    </cacheField>
    <cacheField name="Months (Date)" numFmtId="0" databaseField="0">
      <fieldGroup base="1">
        <rangePr groupBy="months" startDate="2026-01-02T00:00:00" endDate="2026-06-29T00:00:00"/>
        <groupItems count="14">
          <s v="&lt;1/2/2026"/>
          <s v="Jan"/>
          <s v="Feb"/>
          <s v="Mar"/>
          <s v="Apr"/>
          <s v="May"/>
          <s v="Jun"/>
          <s v="Jul"/>
          <s v="Aug"/>
          <s v="Sep"/>
          <s v="Oct"/>
          <s v="Nov"/>
          <s v="Dec"/>
          <s v="&gt;6/29/2026"/>
        </groupItems>
      </fieldGroup>
    </cacheField>
    <cacheField name="Profit Margin" numFmtId="0" formula="Profit/Revenue" databaseField="0"/>
    <cacheField name="Field1" numFmtId="0" formula="Revenue /Quantity" databaseField="0"/>
  </cacheFields>
  <extLst>
    <ext xmlns:x14="http://schemas.microsoft.com/office/spreadsheetml/2009/9/main" uri="{725AE2AE-9491-48be-B2B4-4EB974FC3084}">
      <x14:pivotCacheDefinition pivotCacheId="18922599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0">
  <r>
    <s v="ORD-2026-00001"/>
    <x v="0"/>
    <x v="0"/>
    <x v="0"/>
    <x v="0"/>
    <x v="0"/>
    <n v="3"/>
    <n v="14600"/>
    <n v="43800"/>
    <n v="21000"/>
    <n v="22800"/>
    <x v="0"/>
    <x v="0"/>
  </r>
  <r>
    <s v="ORD-2026-00002"/>
    <x v="1"/>
    <x v="1"/>
    <x v="1"/>
    <x v="1"/>
    <x v="1"/>
    <n v="3"/>
    <n v="173800"/>
    <n v="521400"/>
    <n v="349200"/>
    <n v="172200"/>
    <x v="0"/>
    <x v="1"/>
  </r>
  <r>
    <s v="ORD-2026-00003"/>
    <x v="2"/>
    <x v="1"/>
    <x v="2"/>
    <x v="2"/>
    <x v="1"/>
    <n v="1"/>
    <n v="77500"/>
    <n v="77500"/>
    <n v="44500"/>
    <n v="33000"/>
    <x v="0"/>
    <x v="0"/>
  </r>
  <r>
    <s v="ORD-2026-00004"/>
    <x v="3"/>
    <x v="0"/>
    <x v="3"/>
    <x v="1"/>
    <x v="1"/>
    <n v="6"/>
    <n v="172700"/>
    <n v="1036200"/>
    <n v="741600"/>
    <n v="294600"/>
    <x v="1"/>
    <x v="2"/>
  </r>
  <r>
    <s v="ORD-2026-00005"/>
    <x v="4"/>
    <x v="1"/>
    <x v="4"/>
    <x v="3"/>
    <x v="1"/>
    <n v="3"/>
    <n v="144100"/>
    <n v="432300"/>
    <n v="291300"/>
    <n v="141000"/>
    <x v="2"/>
    <x v="0"/>
  </r>
  <r>
    <s v="ORD-2026-00006"/>
    <x v="2"/>
    <x v="2"/>
    <x v="5"/>
    <x v="3"/>
    <x v="1"/>
    <n v="3"/>
    <n v="134900"/>
    <n v="404700"/>
    <n v="270300"/>
    <n v="134400"/>
    <x v="0"/>
    <x v="1"/>
  </r>
  <r>
    <s v="ORD-2026-00007"/>
    <x v="5"/>
    <x v="1"/>
    <x v="6"/>
    <x v="4"/>
    <x v="2"/>
    <n v="2"/>
    <n v="65300"/>
    <n v="130600"/>
    <n v="86800"/>
    <n v="43800"/>
    <x v="0"/>
    <x v="0"/>
  </r>
  <r>
    <s v="ORD-2026-00008"/>
    <x v="6"/>
    <x v="3"/>
    <x v="7"/>
    <x v="5"/>
    <x v="0"/>
    <n v="10"/>
    <n v="22600"/>
    <n v="226000"/>
    <n v="110000"/>
    <n v="116000"/>
    <x v="0"/>
    <x v="1"/>
  </r>
  <r>
    <s v="ORD-2026-00009"/>
    <x v="7"/>
    <x v="4"/>
    <x v="1"/>
    <x v="3"/>
    <x v="1"/>
    <n v="5"/>
    <n v="133700"/>
    <n v="668500"/>
    <n v="460500"/>
    <n v="208000"/>
    <x v="3"/>
    <x v="0"/>
  </r>
  <r>
    <s v="ORD-2026-00010"/>
    <x v="8"/>
    <x v="5"/>
    <x v="2"/>
    <x v="6"/>
    <x v="0"/>
    <n v="1"/>
    <n v="26600"/>
    <n v="26600"/>
    <n v="14500"/>
    <n v="12100"/>
    <x v="0"/>
    <x v="1"/>
  </r>
  <r>
    <s v="ORD-2026-00011"/>
    <x v="9"/>
    <x v="4"/>
    <x v="8"/>
    <x v="5"/>
    <x v="0"/>
    <n v="2"/>
    <n v="21400"/>
    <n v="42800"/>
    <n v="22400"/>
    <n v="20400"/>
    <x v="2"/>
    <x v="0"/>
  </r>
  <r>
    <s v="ORD-2026-00012"/>
    <x v="10"/>
    <x v="1"/>
    <x v="9"/>
    <x v="1"/>
    <x v="1"/>
    <n v="3"/>
    <n v="172900"/>
    <n v="518700"/>
    <n v="357300"/>
    <n v="161400"/>
    <x v="2"/>
    <x v="1"/>
  </r>
  <r>
    <s v="ORD-2026-00013"/>
    <x v="11"/>
    <x v="1"/>
    <x v="9"/>
    <x v="7"/>
    <x v="3"/>
    <n v="2"/>
    <n v="727700"/>
    <n v="1455400"/>
    <n v="1175400"/>
    <n v="280000"/>
    <x v="0"/>
    <x v="2"/>
  </r>
  <r>
    <s v="ORD-2026-00014"/>
    <x v="12"/>
    <x v="6"/>
    <x v="0"/>
    <x v="0"/>
    <x v="0"/>
    <n v="6"/>
    <n v="14400"/>
    <n v="86400"/>
    <n v="42600"/>
    <n v="43800"/>
    <x v="2"/>
    <x v="0"/>
  </r>
  <r>
    <s v="ORD-2026-00015"/>
    <x v="13"/>
    <x v="1"/>
    <x v="9"/>
    <x v="6"/>
    <x v="0"/>
    <n v="4"/>
    <n v="28800"/>
    <n v="115200"/>
    <n v="57200"/>
    <n v="58000"/>
    <x v="2"/>
    <x v="0"/>
  </r>
  <r>
    <s v="ORD-2026-00016"/>
    <x v="14"/>
    <x v="0"/>
    <x v="9"/>
    <x v="3"/>
    <x v="1"/>
    <n v="2"/>
    <n v="139800"/>
    <n v="279600"/>
    <n v="177200"/>
    <n v="102400"/>
    <x v="2"/>
    <x v="0"/>
  </r>
  <r>
    <s v="ORD-2026-00017"/>
    <x v="15"/>
    <x v="2"/>
    <x v="7"/>
    <x v="8"/>
    <x v="4"/>
    <n v="1"/>
    <n v="69900"/>
    <n v="69900"/>
    <n v="47800"/>
    <n v="22100"/>
    <x v="2"/>
    <x v="0"/>
  </r>
  <r>
    <s v="ORD-2026-00018"/>
    <x v="16"/>
    <x v="7"/>
    <x v="2"/>
    <x v="9"/>
    <x v="1"/>
    <n v="1"/>
    <n v="162900"/>
    <n v="162900"/>
    <n v="122400"/>
    <n v="40500"/>
    <x v="3"/>
    <x v="0"/>
  </r>
  <r>
    <s v="ORD-2026-00019"/>
    <x v="17"/>
    <x v="1"/>
    <x v="1"/>
    <x v="0"/>
    <x v="0"/>
    <n v="4"/>
    <n v="14500"/>
    <n v="58000"/>
    <n v="28800"/>
    <n v="29200"/>
    <x v="0"/>
    <x v="1"/>
  </r>
  <r>
    <s v="ORD-2026-00020"/>
    <x v="18"/>
    <x v="6"/>
    <x v="7"/>
    <x v="10"/>
    <x v="3"/>
    <n v="3"/>
    <n v="553200"/>
    <n v="1659600"/>
    <n v="1198500"/>
    <n v="461100"/>
    <x v="0"/>
    <x v="0"/>
  </r>
  <r>
    <s v="ORD-2026-00021"/>
    <x v="19"/>
    <x v="3"/>
    <x v="2"/>
    <x v="8"/>
    <x v="4"/>
    <n v="3"/>
    <n v="71300"/>
    <n v="213900"/>
    <n v="154500"/>
    <n v="59400"/>
    <x v="3"/>
    <x v="3"/>
  </r>
  <r>
    <s v="ORD-2026-00022"/>
    <x v="20"/>
    <x v="7"/>
    <x v="2"/>
    <x v="1"/>
    <x v="1"/>
    <n v="1"/>
    <n v="171600"/>
    <n v="171600"/>
    <n v="115200"/>
    <n v="56400"/>
    <x v="0"/>
    <x v="0"/>
  </r>
  <r>
    <s v="ORD-2026-00023"/>
    <x v="4"/>
    <x v="0"/>
    <x v="8"/>
    <x v="4"/>
    <x v="2"/>
    <n v="4"/>
    <n v="65700"/>
    <n v="262800"/>
    <n v="174400"/>
    <n v="88400"/>
    <x v="2"/>
    <x v="0"/>
  </r>
  <r>
    <s v="ORD-2026-00024"/>
    <x v="21"/>
    <x v="7"/>
    <x v="1"/>
    <x v="5"/>
    <x v="0"/>
    <n v="1"/>
    <n v="22500"/>
    <n v="22500"/>
    <n v="10700"/>
    <n v="11800"/>
    <x v="2"/>
    <x v="0"/>
  </r>
  <r>
    <s v="ORD-2026-00025"/>
    <x v="22"/>
    <x v="5"/>
    <x v="3"/>
    <x v="1"/>
    <x v="1"/>
    <n v="1"/>
    <n v="174600"/>
    <n v="174600"/>
    <n v="121600"/>
    <n v="53000"/>
    <x v="2"/>
    <x v="0"/>
  </r>
  <r>
    <s v="ORD-2026-00026"/>
    <x v="23"/>
    <x v="4"/>
    <x v="1"/>
    <x v="5"/>
    <x v="0"/>
    <n v="5"/>
    <n v="23400"/>
    <n v="117000"/>
    <n v="53000"/>
    <n v="64000"/>
    <x v="0"/>
    <x v="1"/>
  </r>
  <r>
    <s v="ORD-2026-00027"/>
    <x v="24"/>
    <x v="0"/>
    <x v="7"/>
    <x v="11"/>
    <x v="0"/>
    <n v="3"/>
    <n v="38800"/>
    <n v="116400"/>
    <n v="60600"/>
    <n v="55800"/>
    <x v="2"/>
    <x v="0"/>
  </r>
  <r>
    <s v="ORD-2026-00028"/>
    <x v="25"/>
    <x v="3"/>
    <x v="5"/>
    <x v="8"/>
    <x v="4"/>
    <n v="3"/>
    <n v="72100"/>
    <n v="216300"/>
    <n v="150900"/>
    <n v="65400"/>
    <x v="1"/>
    <x v="3"/>
  </r>
  <r>
    <s v="ORD-2026-00029"/>
    <x v="26"/>
    <x v="5"/>
    <x v="9"/>
    <x v="10"/>
    <x v="3"/>
    <n v="2"/>
    <n v="515900"/>
    <n v="1031800"/>
    <n v="812600"/>
    <n v="219200"/>
    <x v="0"/>
    <x v="1"/>
  </r>
  <r>
    <s v="ORD-2026-00030"/>
    <x v="10"/>
    <x v="0"/>
    <x v="4"/>
    <x v="12"/>
    <x v="4"/>
    <n v="1"/>
    <n v="97300"/>
    <n v="97300"/>
    <n v="71800"/>
    <n v="25500"/>
    <x v="0"/>
    <x v="3"/>
  </r>
  <r>
    <s v="ORD-2026-00031"/>
    <x v="27"/>
    <x v="1"/>
    <x v="3"/>
    <x v="13"/>
    <x v="3"/>
    <n v="3"/>
    <n v="222800"/>
    <n v="668400"/>
    <n v="432600"/>
    <n v="235800"/>
    <x v="0"/>
    <x v="3"/>
  </r>
  <r>
    <s v="ORD-2026-00032"/>
    <x v="28"/>
    <x v="6"/>
    <x v="2"/>
    <x v="8"/>
    <x v="4"/>
    <n v="3"/>
    <n v="71700"/>
    <n v="215100"/>
    <n v="151800"/>
    <n v="63300"/>
    <x v="0"/>
    <x v="0"/>
  </r>
  <r>
    <s v="ORD-2026-00033"/>
    <x v="29"/>
    <x v="5"/>
    <x v="3"/>
    <x v="9"/>
    <x v="1"/>
    <n v="6"/>
    <n v="171000"/>
    <n v="1026000"/>
    <n v="695400"/>
    <n v="330600"/>
    <x v="2"/>
    <x v="0"/>
  </r>
  <r>
    <s v="ORD-2026-00034"/>
    <x v="30"/>
    <x v="1"/>
    <x v="1"/>
    <x v="6"/>
    <x v="0"/>
    <n v="2"/>
    <n v="26700"/>
    <n v="53400"/>
    <n v="29400"/>
    <n v="24000"/>
    <x v="2"/>
    <x v="0"/>
  </r>
  <r>
    <s v="ORD-2026-00035"/>
    <x v="31"/>
    <x v="0"/>
    <x v="4"/>
    <x v="5"/>
    <x v="0"/>
    <n v="1"/>
    <n v="22600"/>
    <n v="22600"/>
    <n v="10800"/>
    <n v="11800"/>
    <x v="0"/>
    <x v="0"/>
  </r>
  <r>
    <s v="ORD-2026-00036"/>
    <x v="32"/>
    <x v="2"/>
    <x v="8"/>
    <x v="12"/>
    <x v="4"/>
    <n v="1"/>
    <n v="98200"/>
    <n v="98200"/>
    <n v="67900"/>
    <n v="30300"/>
    <x v="3"/>
    <x v="0"/>
  </r>
  <r>
    <s v="ORD-2026-00037"/>
    <x v="2"/>
    <x v="1"/>
    <x v="7"/>
    <x v="5"/>
    <x v="0"/>
    <n v="2"/>
    <n v="21900"/>
    <n v="43800"/>
    <n v="21200"/>
    <n v="22600"/>
    <x v="3"/>
    <x v="0"/>
  </r>
  <r>
    <s v="ORD-2026-00038"/>
    <x v="33"/>
    <x v="1"/>
    <x v="5"/>
    <x v="10"/>
    <x v="3"/>
    <n v="3"/>
    <n v="533100"/>
    <n v="1599300"/>
    <n v="1126200"/>
    <n v="473100"/>
    <x v="1"/>
    <x v="0"/>
  </r>
  <r>
    <s v="ORD-2026-00039"/>
    <x v="34"/>
    <x v="4"/>
    <x v="0"/>
    <x v="13"/>
    <x v="3"/>
    <n v="3"/>
    <n v="215300"/>
    <n v="645900"/>
    <n v="432900"/>
    <n v="213000"/>
    <x v="2"/>
    <x v="0"/>
  </r>
  <r>
    <s v="ORD-2026-00040"/>
    <x v="34"/>
    <x v="2"/>
    <x v="1"/>
    <x v="13"/>
    <x v="3"/>
    <n v="6"/>
    <n v="223500"/>
    <n v="1341000"/>
    <n v="906000"/>
    <n v="435000"/>
    <x v="0"/>
    <x v="1"/>
  </r>
  <r>
    <s v="ORD-2026-00041"/>
    <x v="35"/>
    <x v="1"/>
    <x v="7"/>
    <x v="3"/>
    <x v="1"/>
    <n v="2"/>
    <n v="129400"/>
    <n v="258800"/>
    <n v="181000"/>
    <n v="77800"/>
    <x v="2"/>
    <x v="0"/>
  </r>
  <r>
    <s v="ORD-2026-00042"/>
    <x v="36"/>
    <x v="7"/>
    <x v="0"/>
    <x v="14"/>
    <x v="3"/>
    <n v="1"/>
    <n v="271300"/>
    <n v="271300"/>
    <n v="193000"/>
    <n v="78300"/>
    <x v="1"/>
    <x v="0"/>
  </r>
  <r>
    <s v="ORD-2026-00043"/>
    <x v="37"/>
    <x v="1"/>
    <x v="6"/>
    <x v="7"/>
    <x v="3"/>
    <n v="10"/>
    <n v="769900"/>
    <n v="7699000"/>
    <n v="5813000"/>
    <n v="1886000"/>
    <x v="3"/>
    <x v="0"/>
  </r>
  <r>
    <s v="ORD-2026-00044"/>
    <x v="38"/>
    <x v="5"/>
    <x v="5"/>
    <x v="10"/>
    <x v="3"/>
    <n v="3"/>
    <n v="505300"/>
    <n v="1515900"/>
    <n v="1118700"/>
    <n v="397200"/>
    <x v="1"/>
    <x v="0"/>
  </r>
  <r>
    <s v="ORD-2026-00045"/>
    <x v="39"/>
    <x v="4"/>
    <x v="2"/>
    <x v="14"/>
    <x v="3"/>
    <n v="4"/>
    <n v="298900"/>
    <n v="1195600"/>
    <n v="834800"/>
    <n v="360800"/>
    <x v="0"/>
    <x v="3"/>
  </r>
  <r>
    <s v="ORD-2026-00046"/>
    <x v="40"/>
    <x v="7"/>
    <x v="2"/>
    <x v="8"/>
    <x v="4"/>
    <n v="1"/>
    <n v="68400"/>
    <n v="68400"/>
    <n v="50600"/>
    <n v="17800"/>
    <x v="0"/>
    <x v="3"/>
  </r>
  <r>
    <s v="ORD-2026-00047"/>
    <x v="25"/>
    <x v="5"/>
    <x v="4"/>
    <x v="1"/>
    <x v="1"/>
    <n v="2"/>
    <n v="173600"/>
    <n v="347200"/>
    <n v="233200"/>
    <n v="114000"/>
    <x v="3"/>
    <x v="0"/>
  </r>
  <r>
    <s v="ORD-2026-00048"/>
    <x v="41"/>
    <x v="7"/>
    <x v="8"/>
    <x v="5"/>
    <x v="0"/>
    <n v="2"/>
    <n v="21000"/>
    <n v="42000"/>
    <n v="22200"/>
    <n v="19800"/>
    <x v="0"/>
    <x v="0"/>
  </r>
  <r>
    <s v="ORD-2026-00049"/>
    <x v="42"/>
    <x v="7"/>
    <x v="3"/>
    <x v="5"/>
    <x v="0"/>
    <n v="1"/>
    <n v="22200"/>
    <n v="22200"/>
    <n v="11400"/>
    <n v="10800"/>
    <x v="3"/>
    <x v="0"/>
  </r>
  <r>
    <s v="ORD-2026-00050"/>
    <x v="43"/>
    <x v="3"/>
    <x v="2"/>
    <x v="0"/>
    <x v="0"/>
    <n v="2"/>
    <n v="13700"/>
    <n v="27400"/>
    <n v="13800"/>
    <n v="13600"/>
    <x v="3"/>
    <x v="2"/>
  </r>
  <r>
    <s v="ORD-2026-00051"/>
    <x v="44"/>
    <x v="3"/>
    <x v="3"/>
    <x v="2"/>
    <x v="1"/>
    <n v="1"/>
    <n v="72300"/>
    <n v="72300"/>
    <n v="44300"/>
    <n v="28000"/>
    <x v="2"/>
    <x v="0"/>
  </r>
  <r>
    <s v="ORD-2026-00052"/>
    <x v="45"/>
    <x v="0"/>
    <x v="2"/>
    <x v="13"/>
    <x v="3"/>
    <n v="3"/>
    <n v="214800"/>
    <n v="644400"/>
    <n v="421800"/>
    <n v="222600"/>
    <x v="0"/>
    <x v="1"/>
  </r>
  <r>
    <s v="ORD-2026-00053"/>
    <x v="46"/>
    <x v="1"/>
    <x v="4"/>
    <x v="5"/>
    <x v="0"/>
    <n v="2"/>
    <n v="23500"/>
    <n v="47000"/>
    <n v="21600"/>
    <n v="25400"/>
    <x v="3"/>
    <x v="0"/>
  </r>
  <r>
    <s v="ORD-2026-00054"/>
    <x v="47"/>
    <x v="1"/>
    <x v="7"/>
    <x v="13"/>
    <x v="3"/>
    <n v="5"/>
    <n v="216500"/>
    <n v="1082500"/>
    <n v="712500"/>
    <n v="370000"/>
    <x v="0"/>
    <x v="0"/>
  </r>
  <r>
    <s v="ORD-2026-00055"/>
    <x v="17"/>
    <x v="2"/>
    <x v="7"/>
    <x v="1"/>
    <x v="1"/>
    <n v="2"/>
    <n v="185300"/>
    <n v="370600"/>
    <n v="237800"/>
    <n v="132800"/>
    <x v="3"/>
    <x v="0"/>
  </r>
  <r>
    <s v="ORD-2026-00056"/>
    <x v="13"/>
    <x v="7"/>
    <x v="2"/>
    <x v="3"/>
    <x v="1"/>
    <n v="1"/>
    <n v="138900"/>
    <n v="138900"/>
    <n v="96100"/>
    <n v="42800"/>
    <x v="1"/>
    <x v="3"/>
  </r>
  <r>
    <s v="ORD-2026-00057"/>
    <x v="48"/>
    <x v="0"/>
    <x v="4"/>
    <x v="15"/>
    <x v="1"/>
    <n v="5"/>
    <n v="90500"/>
    <n v="452500"/>
    <n v="314000"/>
    <n v="138500"/>
    <x v="3"/>
    <x v="0"/>
  </r>
  <r>
    <s v="ORD-2026-00058"/>
    <x v="49"/>
    <x v="4"/>
    <x v="3"/>
    <x v="11"/>
    <x v="0"/>
    <n v="8"/>
    <n v="39000"/>
    <n v="312000"/>
    <n v="169600"/>
    <n v="142400"/>
    <x v="1"/>
    <x v="0"/>
  </r>
  <r>
    <s v="ORD-2026-00059"/>
    <x v="29"/>
    <x v="1"/>
    <x v="4"/>
    <x v="2"/>
    <x v="1"/>
    <n v="10"/>
    <n v="72100"/>
    <n v="721000"/>
    <n v="454000"/>
    <n v="267000"/>
    <x v="3"/>
    <x v="3"/>
  </r>
  <r>
    <s v="ORD-2026-00060"/>
    <x v="50"/>
    <x v="1"/>
    <x v="7"/>
    <x v="5"/>
    <x v="0"/>
    <n v="6"/>
    <n v="23300"/>
    <n v="139800"/>
    <n v="67800"/>
    <n v="72000"/>
    <x v="2"/>
    <x v="0"/>
  </r>
  <r>
    <s v="ORD-2026-00061"/>
    <x v="51"/>
    <x v="7"/>
    <x v="6"/>
    <x v="8"/>
    <x v="4"/>
    <n v="5"/>
    <n v="74700"/>
    <n v="373500"/>
    <n v="250500"/>
    <n v="123000"/>
    <x v="3"/>
    <x v="0"/>
  </r>
  <r>
    <s v="ORD-2026-00062"/>
    <x v="52"/>
    <x v="7"/>
    <x v="7"/>
    <x v="13"/>
    <x v="3"/>
    <n v="5"/>
    <n v="201000"/>
    <n v="1005000"/>
    <n v="736000"/>
    <n v="269000"/>
    <x v="0"/>
    <x v="0"/>
  </r>
  <r>
    <s v="ORD-2026-00063"/>
    <x v="53"/>
    <x v="4"/>
    <x v="5"/>
    <x v="9"/>
    <x v="1"/>
    <n v="5"/>
    <n v="164100"/>
    <n v="820500"/>
    <n v="562500"/>
    <n v="258000"/>
    <x v="0"/>
    <x v="0"/>
  </r>
  <r>
    <s v="ORD-2026-00064"/>
    <x v="20"/>
    <x v="3"/>
    <x v="7"/>
    <x v="11"/>
    <x v="0"/>
    <n v="6"/>
    <n v="37600"/>
    <n v="225600"/>
    <n v="123600"/>
    <n v="102000"/>
    <x v="2"/>
    <x v="0"/>
  </r>
  <r>
    <s v="ORD-2026-00065"/>
    <x v="54"/>
    <x v="1"/>
    <x v="3"/>
    <x v="2"/>
    <x v="1"/>
    <n v="4"/>
    <n v="76400"/>
    <n v="305600"/>
    <n v="193200"/>
    <n v="112400"/>
    <x v="2"/>
    <x v="0"/>
  </r>
  <r>
    <s v="ORD-2026-00066"/>
    <x v="55"/>
    <x v="1"/>
    <x v="7"/>
    <x v="14"/>
    <x v="3"/>
    <n v="8"/>
    <n v="265400"/>
    <n v="2123200"/>
    <n v="1540800"/>
    <n v="582400"/>
    <x v="0"/>
    <x v="0"/>
  </r>
  <r>
    <s v="ORD-2026-00067"/>
    <x v="56"/>
    <x v="7"/>
    <x v="2"/>
    <x v="7"/>
    <x v="3"/>
    <n v="1"/>
    <n v="803700"/>
    <n v="803700"/>
    <n v="555300"/>
    <n v="248400"/>
    <x v="3"/>
    <x v="1"/>
  </r>
  <r>
    <s v="ORD-2026-00068"/>
    <x v="57"/>
    <x v="1"/>
    <x v="1"/>
    <x v="6"/>
    <x v="0"/>
    <n v="2"/>
    <n v="29100"/>
    <n v="58200"/>
    <n v="28000"/>
    <n v="30200"/>
    <x v="0"/>
    <x v="0"/>
  </r>
  <r>
    <s v="ORD-2026-00069"/>
    <x v="58"/>
    <x v="1"/>
    <x v="0"/>
    <x v="2"/>
    <x v="1"/>
    <n v="1"/>
    <n v="72000"/>
    <n v="72000"/>
    <n v="47100"/>
    <n v="24900"/>
    <x v="0"/>
    <x v="0"/>
  </r>
  <r>
    <s v="ORD-2026-00070"/>
    <x v="27"/>
    <x v="6"/>
    <x v="6"/>
    <x v="12"/>
    <x v="4"/>
    <n v="5"/>
    <n v="99400"/>
    <n v="497000"/>
    <n v="344500"/>
    <n v="152500"/>
    <x v="0"/>
    <x v="0"/>
  </r>
  <r>
    <s v="ORD-2026-00071"/>
    <x v="27"/>
    <x v="4"/>
    <x v="0"/>
    <x v="1"/>
    <x v="1"/>
    <n v="1"/>
    <n v="184100"/>
    <n v="184100"/>
    <n v="115900"/>
    <n v="68200"/>
    <x v="0"/>
    <x v="0"/>
  </r>
  <r>
    <s v="ORD-2026-00072"/>
    <x v="12"/>
    <x v="5"/>
    <x v="9"/>
    <x v="11"/>
    <x v="0"/>
    <n v="5"/>
    <n v="38500"/>
    <n v="192500"/>
    <n v="98500"/>
    <n v="94000"/>
    <x v="2"/>
    <x v="2"/>
  </r>
  <r>
    <s v="ORD-2026-00073"/>
    <x v="59"/>
    <x v="2"/>
    <x v="3"/>
    <x v="12"/>
    <x v="4"/>
    <n v="1"/>
    <n v="91700"/>
    <n v="91700"/>
    <n v="69200"/>
    <n v="22500"/>
    <x v="0"/>
    <x v="1"/>
  </r>
  <r>
    <s v="ORD-2026-00074"/>
    <x v="60"/>
    <x v="7"/>
    <x v="8"/>
    <x v="12"/>
    <x v="4"/>
    <n v="1"/>
    <n v="93400"/>
    <n v="93400"/>
    <n v="71300"/>
    <n v="22100"/>
    <x v="0"/>
    <x v="1"/>
  </r>
  <r>
    <s v="ORD-2026-00075"/>
    <x v="21"/>
    <x v="0"/>
    <x v="1"/>
    <x v="9"/>
    <x v="1"/>
    <n v="1"/>
    <n v="173000"/>
    <n v="173000"/>
    <n v="113000"/>
    <n v="60000"/>
    <x v="2"/>
    <x v="0"/>
  </r>
  <r>
    <s v="ORD-2026-00076"/>
    <x v="61"/>
    <x v="7"/>
    <x v="2"/>
    <x v="11"/>
    <x v="0"/>
    <n v="2"/>
    <n v="39800"/>
    <n v="79600"/>
    <n v="41400"/>
    <n v="38200"/>
    <x v="1"/>
    <x v="3"/>
  </r>
  <r>
    <s v="ORD-2026-00077"/>
    <x v="62"/>
    <x v="1"/>
    <x v="6"/>
    <x v="15"/>
    <x v="1"/>
    <n v="1"/>
    <n v="98700"/>
    <n v="98700"/>
    <n v="63900"/>
    <n v="34800"/>
    <x v="1"/>
    <x v="0"/>
  </r>
  <r>
    <s v="ORD-2026-00078"/>
    <x v="63"/>
    <x v="7"/>
    <x v="3"/>
    <x v="7"/>
    <x v="3"/>
    <n v="3"/>
    <n v="799700"/>
    <n v="2399100"/>
    <n v="1734900"/>
    <n v="664200"/>
    <x v="1"/>
    <x v="0"/>
  </r>
  <r>
    <s v="ORD-2026-00079"/>
    <x v="24"/>
    <x v="2"/>
    <x v="3"/>
    <x v="10"/>
    <x v="3"/>
    <n v="4"/>
    <n v="512000"/>
    <n v="2048000"/>
    <n v="1621200"/>
    <n v="426800"/>
    <x v="0"/>
    <x v="2"/>
  </r>
  <r>
    <s v="ORD-2026-00080"/>
    <x v="46"/>
    <x v="6"/>
    <x v="4"/>
    <x v="13"/>
    <x v="3"/>
    <n v="4"/>
    <n v="201000"/>
    <n v="804000"/>
    <n v="608800"/>
    <n v="195200"/>
    <x v="2"/>
    <x v="2"/>
  </r>
  <r>
    <s v="ORD-2026-00081"/>
    <x v="64"/>
    <x v="2"/>
    <x v="7"/>
    <x v="11"/>
    <x v="0"/>
    <n v="2"/>
    <n v="39700"/>
    <n v="79400"/>
    <n v="43400"/>
    <n v="36000"/>
    <x v="2"/>
    <x v="3"/>
  </r>
  <r>
    <s v="ORD-2026-00082"/>
    <x v="37"/>
    <x v="6"/>
    <x v="8"/>
    <x v="5"/>
    <x v="0"/>
    <n v="3"/>
    <n v="23000"/>
    <n v="69000"/>
    <n v="33300"/>
    <n v="35700"/>
    <x v="0"/>
    <x v="0"/>
  </r>
  <r>
    <s v="ORD-2026-00083"/>
    <x v="65"/>
    <x v="5"/>
    <x v="5"/>
    <x v="12"/>
    <x v="4"/>
    <n v="5"/>
    <n v="90700"/>
    <n v="453500"/>
    <n v="330500"/>
    <n v="123000"/>
    <x v="0"/>
    <x v="0"/>
  </r>
  <r>
    <s v="ORD-2026-00084"/>
    <x v="44"/>
    <x v="6"/>
    <x v="4"/>
    <x v="13"/>
    <x v="3"/>
    <n v="2"/>
    <n v="226100"/>
    <n v="452200"/>
    <n v="305200"/>
    <n v="147000"/>
    <x v="0"/>
    <x v="0"/>
  </r>
  <r>
    <s v="ORD-2026-00085"/>
    <x v="41"/>
    <x v="6"/>
    <x v="0"/>
    <x v="12"/>
    <x v="4"/>
    <n v="1"/>
    <n v="99200"/>
    <n v="99200"/>
    <n v="66700"/>
    <n v="32500"/>
    <x v="1"/>
    <x v="1"/>
  </r>
  <r>
    <s v="ORD-2026-00086"/>
    <x v="44"/>
    <x v="4"/>
    <x v="8"/>
    <x v="0"/>
    <x v="0"/>
    <n v="2"/>
    <n v="14000"/>
    <n v="28000"/>
    <n v="13600"/>
    <n v="14400"/>
    <x v="2"/>
    <x v="1"/>
  </r>
  <r>
    <s v="ORD-2026-00087"/>
    <x v="49"/>
    <x v="6"/>
    <x v="5"/>
    <x v="12"/>
    <x v="4"/>
    <n v="5"/>
    <n v="91400"/>
    <n v="457000"/>
    <n v="333000"/>
    <n v="124000"/>
    <x v="1"/>
    <x v="1"/>
  </r>
  <r>
    <s v="ORD-2026-00088"/>
    <x v="11"/>
    <x v="0"/>
    <x v="7"/>
    <x v="0"/>
    <x v="0"/>
    <n v="5"/>
    <n v="13800"/>
    <n v="69000"/>
    <n v="35000"/>
    <n v="34000"/>
    <x v="1"/>
    <x v="2"/>
  </r>
  <r>
    <s v="ORD-2026-00089"/>
    <x v="66"/>
    <x v="7"/>
    <x v="4"/>
    <x v="10"/>
    <x v="3"/>
    <n v="3"/>
    <n v="525100"/>
    <n v="1575300"/>
    <n v="1209000"/>
    <n v="366300"/>
    <x v="1"/>
    <x v="0"/>
  </r>
  <r>
    <s v="ORD-2026-00090"/>
    <x v="23"/>
    <x v="0"/>
    <x v="9"/>
    <x v="1"/>
    <x v="1"/>
    <n v="3"/>
    <n v="188500"/>
    <n v="565500"/>
    <n v="367200"/>
    <n v="198300"/>
    <x v="2"/>
    <x v="0"/>
  </r>
  <r>
    <s v="ORD-2026-00091"/>
    <x v="16"/>
    <x v="1"/>
    <x v="0"/>
    <x v="12"/>
    <x v="4"/>
    <n v="3"/>
    <n v="101900"/>
    <n v="305700"/>
    <n v="212400"/>
    <n v="93300"/>
    <x v="0"/>
    <x v="0"/>
  </r>
  <r>
    <s v="ORD-2026-00092"/>
    <x v="16"/>
    <x v="5"/>
    <x v="8"/>
    <x v="3"/>
    <x v="1"/>
    <n v="5"/>
    <n v="142000"/>
    <n v="710000"/>
    <n v="463000"/>
    <n v="247000"/>
    <x v="0"/>
    <x v="0"/>
  </r>
  <r>
    <s v="ORD-2026-00093"/>
    <x v="67"/>
    <x v="6"/>
    <x v="3"/>
    <x v="12"/>
    <x v="4"/>
    <n v="1"/>
    <n v="91500"/>
    <n v="91500"/>
    <n v="66800"/>
    <n v="24700"/>
    <x v="2"/>
    <x v="0"/>
  </r>
  <r>
    <s v="ORD-2026-00094"/>
    <x v="68"/>
    <x v="7"/>
    <x v="9"/>
    <x v="0"/>
    <x v="0"/>
    <n v="3"/>
    <n v="14100"/>
    <n v="42300"/>
    <n v="21300"/>
    <n v="21000"/>
    <x v="0"/>
    <x v="0"/>
  </r>
  <r>
    <s v="ORD-2026-00095"/>
    <x v="34"/>
    <x v="5"/>
    <x v="7"/>
    <x v="13"/>
    <x v="3"/>
    <n v="3"/>
    <n v="216400"/>
    <n v="649200"/>
    <n v="444000"/>
    <n v="205200"/>
    <x v="3"/>
    <x v="0"/>
  </r>
  <r>
    <s v="ORD-2026-00096"/>
    <x v="69"/>
    <x v="6"/>
    <x v="5"/>
    <x v="4"/>
    <x v="2"/>
    <n v="2"/>
    <n v="64000"/>
    <n v="128000"/>
    <n v="88600"/>
    <n v="39400"/>
    <x v="0"/>
    <x v="0"/>
  </r>
  <r>
    <s v="ORD-2026-00097"/>
    <x v="1"/>
    <x v="6"/>
    <x v="7"/>
    <x v="6"/>
    <x v="0"/>
    <n v="3"/>
    <n v="26900"/>
    <n v="80700"/>
    <n v="43500"/>
    <n v="37200"/>
    <x v="0"/>
    <x v="0"/>
  </r>
  <r>
    <s v="ORD-2026-00098"/>
    <x v="70"/>
    <x v="1"/>
    <x v="6"/>
    <x v="2"/>
    <x v="1"/>
    <n v="5"/>
    <n v="76200"/>
    <n v="381000"/>
    <n v="231500"/>
    <n v="149500"/>
    <x v="2"/>
    <x v="0"/>
  </r>
  <r>
    <s v="ORD-2026-00099"/>
    <x v="71"/>
    <x v="1"/>
    <x v="3"/>
    <x v="15"/>
    <x v="1"/>
    <n v="1"/>
    <n v="95600"/>
    <n v="95600"/>
    <n v="68700"/>
    <n v="26900"/>
    <x v="1"/>
    <x v="0"/>
  </r>
  <r>
    <s v="ORD-2026-00100"/>
    <x v="42"/>
    <x v="5"/>
    <x v="1"/>
    <x v="15"/>
    <x v="1"/>
    <n v="8"/>
    <n v="101200"/>
    <n v="809600"/>
    <n v="522400"/>
    <n v="287200"/>
    <x v="0"/>
    <x v="0"/>
  </r>
  <r>
    <s v="ORD-2026-00101"/>
    <x v="72"/>
    <x v="1"/>
    <x v="3"/>
    <x v="3"/>
    <x v="1"/>
    <n v="6"/>
    <n v="128000"/>
    <n v="768000"/>
    <n v="573000"/>
    <n v="195000"/>
    <x v="0"/>
    <x v="0"/>
  </r>
  <r>
    <s v="ORD-2026-00102"/>
    <x v="73"/>
    <x v="3"/>
    <x v="6"/>
    <x v="12"/>
    <x v="4"/>
    <n v="3"/>
    <n v="91200"/>
    <n v="273600"/>
    <n v="201600"/>
    <n v="72000"/>
    <x v="0"/>
    <x v="0"/>
  </r>
  <r>
    <s v="ORD-2026-00103"/>
    <x v="74"/>
    <x v="5"/>
    <x v="3"/>
    <x v="2"/>
    <x v="1"/>
    <n v="8"/>
    <n v="77000"/>
    <n v="616000"/>
    <n v="384800"/>
    <n v="231200"/>
    <x v="1"/>
    <x v="2"/>
  </r>
  <r>
    <s v="ORD-2026-00104"/>
    <x v="75"/>
    <x v="5"/>
    <x v="8"/>
    <x v="0"/>
    <x v="0"/>
    <n v="8"/>
    <n v="13700"/>
    <n v="109600"/>
    <n v="58400"/>
    <n v="51200"/>
    <x v="3"/>
    <x v="0"/>
  </r>
  <r>
    <s v="ORD-2026-00105"/>
    <x v="36"/>
    <x v="3"/>
    <x v="3"/>
    <x v="2"/>
    <x v="1"/>
    <n v="2"/>
    <n v="79400"/>
    <n v="158800"/>
    <n v="93000"/>
    <n v="65800"/>
    <x v="1"/>
    <x v="2"/>
  </r>
  <r>
    <s v="ORD-2026-00106"/>
    <x v="76"/>
    <x v="7"/>
    <x v="4"/>
    <x v="8"/>
    <x v="4"/>
    <n v="2"/>
    <n v="76500"/>
    <n v="153000"/>
    <n v="99200"/>
    <n v="53800"/>
    <x v="0"/>
    <x v="1"/>
  </r>
  <r>
    <s v="ORD-2026-00107"/>
    <x v="77"/>
    <x v="5"/>
    <x v="8"/>
    <x v="15"/>
    <x v="1"/>
    <n v="1"/>
    <n v="99100"/>
    <n v="99100"/>
    <n v="64800"/>
    <n v="34300"/>
    <x v="2"/>
    <x v="0"/>
  </r>
  <r>
    <s v="ORD-2026-00108"/>
    <x v="78"/>
    <x v="1"/>
    <x v="9"/>
    <x v="7"/>
    <x v="3"/>
    <n v="3"/>
    <n v="754900"/>
    <n v="2264700"/>
    <n v="1743000"/>
    <n v="521700"/>
    <x v="2"/>
    <x v="3"/>
  </r>
  <r>
    <s v="ORD-2026-00109"/>
    <x v="71"/>
    <x v="7"/>
    <x v="1"/>
    <x v="2"/>
    <x v="1"/>
    <n v="4"/>
    <n v="73900"/>
    <n v="295600"/>
    <n v="180400"/>
    <n v="115200"/>
    <x v="0"/>
    <x v="0"/>
  </r>
  <r>
    <s v="ORD-2026-00110"/>
    <x v="79"/>
    <x v="0"/>
    <x v="1"/>
    <x v="10"/>
    <x v="3"/>
    <n v="1"/>
    <n v="531500"/>
    <n v="531500"/>
    <n v="390900"/>
    <n v="140600"/>
    <x v="2"/>
    <x v="1"/>
  </r>
  <r>
    <s v="ORD-2026-00111"/>
    <x v="80"/>
    <x v="6"/>
    <x v="6"/>
    <x v="7"/>
    <x v="3"/>
    <n v="4"/>
    <n v="770100"/>
    <n v="3080400"/>
    <n v="2159600"/>
    <n v="920800"/>
    <x v="0"/>
    <x v="2"/>
  </r>
  <r>
    <s v="ORD-2026-00112"/>
    <x v="81"/>
    <x v="0"/>
    <x v="0"/>
    <x v="6"/>
    <x v="0"/>
    <n v="2"/>
    <n v="28300"/>
    <n v="56600"/>
    <n v="28600"/>
    <n v="28000"/>
    <x v="0"/>
    <x v="1"/>
  </r>
  <r>
    <s v="ORD-2026-00113"/>
    <x v="55"/>
    <x v="4"/>
    <x v="7"/>
    <x v="11"/>
    <x v="0"/>
    <n v="1"/>
    <n v="37600"/>
    <n v="37600"/>
    <n v="19700"/>
    <n v="17900"/>
    <x v="1"/>
    <x v="0"/>
  </r>
  <r>
    <s v="ORD-2026-00114"/>
    <x v="82"/>
    <x v="0"/>
    <x v="6"/>
    <x v="12"/>
    <x v="4"/>
    <n v="3"/>
    <n v="93200"/>
    <n v="279600"/>
    <n v="205200"/>
    <n v="74400"/>
    <x v="0"/>
    <x v="0"/>
  </r>
  <r>
    <s v="ORD-2026-00115"/>
    <x v="83"/>
    <x v="6"/>
    <x v="7"/>
    <x v="4"/>
    <x v="2"/>
    <n v="2"/>
    <n v="61800"/>
    <n v="123600"/>
    <n v="82000"/>
    <n v="41600"/>
    <x v="3"/>
    <x v="3"/>
  </r>
  <r>
    <s v="ORD-2026-00116"/>
    <x v="15"/>
    <x v="0"/>
    <x v="4"/>
    <x v="5"/>
    <x v="0"/>
    <n v="5"/>
    <n v="22500"/>
    <n v="112500"/>
    <n v="57000"/>
    <n v="55500"/>
    <x v="0"/>
    <x v="1"/>
  </r>
  <r>
    <s v="ORD-2026-00117"/>
    <x v="84"/>
    <x v="5"/>
    <x v="0"/>
    <x v="8"/>
    <x v="4"/>
    <n v="10"/>
    <n v="70900"/>
    <n v="709000"/>
    <n v="488000"/>
    <n v="221000"/>
    <x v="1"/>
    <x v="0"/>
  </r>
  <r>
    <s v="ORD-2026-00118"/>
    <x v="63"/>
    <x v="1"/>
    <x v="3"/>
    <x v="13"/>
    <x v="3"/>
    <n v="1"/>
    <n v="200700"/>
    <n v="200700"/>
    <n v="151600"/>
    <n v="49100"/>
    <x v="1"/>
    <x v="2"/>
  </r>
  <r>
    <s v="ORD-2026-00119"/>
    <x v="38"/>
    <x v="5"/>
    <x v="9"/>
    <x v="8"/>
    <x v="4"/>
    <n v="3"/>
    <n v="73200"/>
    <n v="219600"/>
    <n v="155100"/>
    <n v="64500"/>
    <x v="3"/>
    <x v="0"/>
  </r>
  <r>
    <s v="ORD-2026-00120"/>
    <x v="85"/>
    <x v="1"/>
    <x v="4"/>
    <x v="9"/>
    <x v="1"/>
    <n v="3"/>
    <n v="177200"/>
    <n v="531600"/>
    <n v="351300"/>
    <n v="180300"/>
    <x v="3"/>
    <x v="2"/>
  </r>
  <r>
    <s v="ORD-2026-00121"/>
    <x v="86"/>
    <x v="1"/>
    <x v="5"/>
    <x v="1"/>
    <x v="1"/>
    <n v="4"/>
    <n v="185000"/>
    <n v="740000"/>
    <n v="460400"/>
    <n v="279600"/>
    <x v="0"/>
    <x v="0"/>
  </r>
  <r>
    <s v="ORD-2026-00122"/>
    <x v="75"/>
    <x v="0"/>
    <x v="1"/>
    <x v="13"/>
    <x v="3"/>
    <n v="1"/>
    <n v="221800"/>
    <n v="221800"/>
    <n v="142000"/>
    <n v="79800"/>
    <x v="1"/>
    <x v="0"/>
  </r>
  <r>
    <s v="ORD-2026-00123"/>
    <x v="87"/>
    <x v="1"/>
    <x v="3"/>
    <x v="5"/>
    <x v="0"/>
    <n v="4"/>
    <n v="23400"/>
    <n v="93600"/>
    <n v="44000"/>
    <n v="49600"/>
    <x v="1"/>
    <x v="0"/>
  </r>
  <r>
    <s v="ORD-2026-00124"/>
    <x v="88"/>
    <x v="6"/>
    <x v="1"/>
    <x v="13"/>
    <x v="3"/>
    <n v="2"/>
    <n v="198100"/>
    <n v="396200"/>
    <n v="280400"/>
    <n v="115800"/>
    <x v="1"/>
    <x v="0"/>
  </r>
  <r>
    <s v="ORD-2026-00125"/>
    <x v="34"/>
    <x v="4"/>
    <x v="0"/>
    <x v="11"/>
    <x v="0"/>
    <n v="1"/>
    <n v="39600"/>
    <n v="39600"/>
    <n v="19900"/>
    <n v="19700"/>
    <x v="0"/>
    <x v="1"/>
  </r>
  <r>
    <s v="ORD-2026-00126"/>
    <x v="89"/>
    <x v="4"/>
    <x v="5"/>
    <x v="9"/>
    <x v="1"/>
    <n v="1"/>
    <n v="159700"/>
    <n v="159700"/>
    <n v="118000"/>
    <n v="41700"/>
    <x v="3"/>
    <x v="0"/>
  </r>
  <r>
    <s v="ORD-2026-00127"/>
    <x v="42"/>
    <x v="6"/>
    <x v="1"/>
    <x v="2"/>
    <x v="1"/>
    <n v="1"/>
    <n v="74400"/>
    <n v="74400"/>
    <n v="45200"/>
    <n v="29200"/>
    <x v="1"/>
    <x v="3"/>
  </r>
  <r>
    <s v="ORD-2026-00128"/>
    <x v="90"/>
    <x v="2"/>
    <x v="7"/>
    <x v="14"/>
    <x v="3"/>
    <n v="1"/>
    <n v="302000"/>
    <n v="302000"/>
    <n v="196900"/>
    <n v="105100"/>
    <x v="0"/>
    <x v="2"/>
  </r>
  <r>
    <s v="ORD-2026-00129"/>
    <x v="54"/>
    <x v="6"/>
    <x v="6"/>
    <x v="15"/>
    <x v="1"/>
    <n v="5"/>
    <n v="95200"/>
    <n v="476000"/>
    <n v="334000"/>
    <n v="142000"/>
    <x v="2"/>
    <x v="2"/>
  </r>
  <r>
    <s v="ORD-2026-00130"/>
    <x v="83"/>
    <x v="5"/>
    <x v="1"/>
    <x v="12"/>
    <x v="4"/>
    <n v="4"/>
    <n v="97200"/>
    <n v="388800"/>
    <n v="276400"/>
    <n v="112400"/>
    <x v="3"/>
    <x v="3"/>
  </r>
  <r>
    <s v="ORD-2026-00131"/>
    <x v="91"/>
    <x v="6"/>
    <x v="5"/>
    <x v="12"/>
    <x v="4"/>
    <n v="4"/>
    <n v="89400"/>
    <n v="357600"/>
    <n v="272400"/>
    <n v="85200"/>
    <x v="1"/>
    <x v="0"/>
  </r>
  <r>
    <s v="ORD-2026-00132"/>
    <x v="92"/>
    <x v="7"/>
    <x v="5"/>
    <x v="9"/>
    <x v="1"/>
    <n v="8"/>
    <n v="171100"/>
    <n v="1368800"/>
    <n v="916000"/>
    <n v="452800"/>
    <x v="2"/>
    <x v="0"/>
  </r>
  <r>
    <s v="ORD-2026-00133"/>
    <x v="93"/>
    <x v="2"/>
    <x v="8"/>
    <x v="15"/>
    <x v="1"/>
    <n v="6"/>
    <n v="99400"/>
    <n v="596400"/>
    <n v="399600"/>
    <n v="196800"/>
    <x v="2"/>
    <x v="3"/>
  </r>
  <r>
    <s v="ORD-2026-00134"/>
    <x v="94"/>
    <x v="1"/>
    <x v="3"/>
    <x v="11"/>
    <x v="0"/>
    <n v="2"/>
    <n v="38100"/>
    <n v="76200"/>
    <n v="42000"/>
    <n v="34200"/>
    <x v="0"/>
    <x v="0"/>
  </r>
  <r>
    <s v="ORD-2026-00135"/>
    <x v="88"/>
    <x v="7"/>
    <x v="5"/>
    <x v="13"/>
    <x v="3"/>
    <n v="1"/>
    <n v="211100"/>
    <n v="211100"/>
    <n v="151300"/>
    <n v="59800"/>
    <x v="1"/>
    <x v="0"/>
  </r>
  <r>
    <s v="ORD-2026-00136"/>
    <x v="95"/>
    <x v="1"/>
    <x v="4"/>
    <x v="13"/>
    <x v="3"/>
    <n v="5"/>
    <n v="224200"/>
    <n v="1121000"/>
    <n v="752500"/>
    <n v="368500"/>
    <x v="2"/>
    <x v="2"/>
  </r>
  <r>
    <s v="ORD-2026-00137"/>
    <x v="81"/>
    <x v="4"/>
    <x v="0"/>
    <x v="9"/>
    <x v="1"/>
    <n v="1"/>
    <n v="171100"/>
    <n v="171100"/>
    <n v="119800"/>
    <n v="51300"/>
    <x v="0"/>
    <x v="1"/>
  </r>
  <r>
    <s v="ORD-2026-00138"/>
    <x v="96"/>
    <x v="1"/>
    <x v="6"/>
    <x v="10"/>
    <x v="3"/>
    <n v="1"/>
    <n v="534400"/>
    <n v="534400"/>
    <n v="401200"/>
    <n v="133200"/>
    <x v="0"/>
    <x v="0"/>
  </r>
  <r>
    <s v="ORD-2026-00139"/>
    <x v="97"/>
    <x v="6"/>
    <x v="9"/>
    <x v="13"/>
    <x v="3"/>
    <n v="5"/>
    <n v="218600"/>
    <n v="1093000"/>
    <n v="727500"/>
    <n v="365500"/>
    <x v="2"/>
    <x v="3"/>
  </r>
  <r>
    <s v="ORD-2026-00140"/>
    <x v="98"/>
    <x v="3"/>
    <x v="0"/>
    <x v="4"/>
    <x v="2"/>
    <n v="2"/>
    <n v="65700"/>
    <n v="131400"/>
    <n v="80600"/>
    <n v="50800"/>
    <x v="2"/>
    <x v="1"/>
  </r>
  <r>
    <s v="ORD-2026-00141"/>
    <x v="87"/>
    <x v="5"/>
    <x v="7"/>
    <x v="3"/>
    <x v="1"/>
    <n v="3"/>
    <n v="131400"/>
    <n v="394200"/>
    <n v="267600"/>
    <n v="126600"/>
    <x v="0"/>
    <x v="0"/>
  </r>
  <r>
    <s v="ORD-2026-00142"/>
    <x v="9"/>
    <x v="1"/>
    <x v="3"/>
    <x v="10"/>
    <x v="3"/>
    <n v="1"/>
    <n v="509000"/>
    <n v="509000"/>
    <n v="408400"/>
    <n v="100600"/>
    <x v="3"/>
    <x v="0"/>
  </r>
  <r>
    <s v="ORD-2026-00143"/>
    <x v="99"/>
    <x v="7"/>
    <x v="2"/>
    <x v="10"/>
    <x v="3"/>
    <n v="3"/>
    <n v="547900"/>
    <n v="1643700"/>
    <n v="1225800"/>
    <n v="417900"/>
    <x v="0"/>
    <x v="2"/>
  </r>
  <r>
    <s v="ORD-2026-00144"/>
    <x v="48"/>
    <x v="7"/>
    <x v="7"/>
    <x v="2"/>
    <x v="1"/>
    <n v="2"/>
    <n v="79400"/>
    <n v="158800"/>
    <n v="95600"/>
    <n v="63200"/>
    <x v="0"/>
    <x v="2"/>
  </r>
  <r>
    <s v="ORD-2026-00145"/>
    <x v="90"/>
    <x v="0"/>
    <x v="5"/>
    <x v="6"/>
    <x v="0"/>
    <n v="2"/>
    <n v="26900"/>
    <n v="53800"/>
    <n v="27800"/>
    <n v="26000"/>
    <x v="2"/>
    <x v="1"/>
  </r>
  <r>
    <s v="ORD-2026-00146"/>
    <x v="31"/>
    <x v="5"/>
    <x v="4"/>
    <x v="9"/>
    <x v="1"/>
    <n v="1"/>
    <n v="161000"/>
    <n v="161000"/>
    <n v="115300"/>
    <n v="45700"/>
    <x v="2"/>
    <x v="2"/>
  </r>
  <r>
    <s v="ORD-2026-00147"/>
    <x v="100"/>
    <x v="0"/>
    <x v="0"/>
    <x v="0"/>
    <x v="0"/>
    <n v="3"/>
    <n v="14200"/>
    <n v="42600"/>
    <n v="21900"/>
    <n v="20700"/>
    <x v="2"/>
    <x v="0"/>
  </r>
  <r>
    <s v="ORD-2026-00148"/>
    <x v="101"/>
    <x v="4"/>
    <x v="9"/>
    <x v="7"/>
    <x v="3"/>
    <n v="1"/>
    <n v="732200"/>
    <n v="732200"/>
    <n v="537700"/>
    <n v="194500"/>
    <x v="2"/>
    <x v="0"/>
  </r>
  <r>
    <s v="ORD-2026-00149"/>
    <x v="102"/>
    <x v="1"/>
    <x v="2"/>
    <x v="11"/>
    <x v="0"/>
    <n v="1"/>
    <n v="36600"/>
    <n v="36600"/>
    <n v="19800"/>
    <n v="16800"/>
    <x v="2"/>
    <x v="0"/>
  </r>
  <r>
    <s v="ORD-2026-00150"/>
    <x v="103"/>
    <x v="7"/>
    <x v="2"/>
    <x v="0"/>
    <x v="0"/>
    <n v="1"/>
    <n v="13300"/>
    <n v="13300"/>
    <n v="7200"/>
    <n v="6100"/>
    <x v="2"/>
    <x v="0"/>
  </r>
  <r>
    <s v="ORD-2026-00151"/>
    <x v="104"/>
    <x v="0"/>
    <x v="1"/>
    <x v="15"/>
    <x v="1"/>
    <n v="2"/>
    <n v="97100"/>
    <n v="194200"/>
    <n v="128400"/>
    <n v="65800"/>
    <x v="0"/>
    <x v="3"/>
  </r>
  <r>
    <s v="ORD-2026-00152"/>
    <x v="105"/>
    <x v="1"/>
    <x v="6"/>
    <x v="3"/>
    <x v="1"/>
    <n v="4"/>
    <n v="131700"/>
    <n v="526800"/>
    <n v="380400"/>
    <n v="146400"/>
    <x v="3"/>
    <x v="0"/>
  </r>
  <r>
    <s v="ORD-2026-00153"/>
    <x v="58"/>
    <x v="0"/>
    <x v="8"/>
    <x v="12"/>
    <x v="4"/>
    <n v="5"/>
    <n v="91000"/>
    <n v="455000"/>
    <n v="349500"/>
    <n v="105500"/>
    <x v="2"/>
    <x v="0"/>
  </r>
  <r>
    <s v="ORD-2026-00154"/>
    <x v="11"/>
    <x v="0"/>
    <x v="2"/>
    <x v="4"/>
    <x v="2"/>
    <n v="1"/>
    <n v="61900"/>
    <n v="61900"/>
    <n v="40500"/>
    <n v="21400"/>
    <x v="0"/>
    <x v="0"/>
  </r>
  <r>
    <s v="ORD-2026-00155"/>
    <x v="79"/>
    <x v="1"/>
    <x v="3"/>
    <x v="1"/>
    <x v="1"/>
    <n v="3"/>
    <n v="180100"/>
    <n v="540300"/>
    <n v="369000"/>
    <n v="171300"/>
    <x v="0"/>
    <x v="0"/>
  </r>
  <r>
    <s v="ORD-2026-00156"/>
    <x v="106"/>
    <x v="4"/>
    <x v="3"/>
    <x v="6"/>
    <x v="0"/>
    <n v="3"/>
    <n v="27000"/>
    <n v="81000"/>
    <n v="43500"/>
    <n v="37500"/>
    <x v="2"/>
    <x v="0"/>
  </r>
  <r>
    <s v="ORD-2026-00157"/>
    <x v="107"/>
    <x v="5"/>
    <x v="1"/>
    <x v="2"/>
    <x v="1"/>
    <n v="2"/>
    <n v="78200"/>
    <n v="156400"/>
    <n v="94400"/>
    <n v="62000"/>
    <x v="0"/>
    <x v="0"/>
  </r>
  <r>
    <s v="ORD-2026-00158"/>
    <x v="108"/>
    <x v="1"/>
    <x v="7"/>
    <x v="11"/>
    <x v="0"/>
    <n v="8"/>
    <n v="36800"/>
    <n v="294400"/>
    <n v="164000"/>
    <n v="130400"/>
    <x v="2"/>
    <x v="0"/>
  </r>
  <r>
    <s v="ORD-2026-00159"/>
    <x v="109"/>
    <x v="0"/>
    <x v="8"/>
    <x v="9"/>
    <x v="1"/>
    <n v="1"/>
    <n v="177300"/>
    <n v="177300"/>
    <n v="117500"/>
    <n v="59800"/>
    <x v="0"/>
    <x v="0"/>
  </r>
  <r>
    <s v="ORD-2026-00160"/>
    <x v="100"/>
    <x v="6"/>
    <x v="5"/>
    <x v="11"/>
    <x v="0"/>
    <n v="2"/>
    <n v="38500"/>
    <n v="77000"/>
    <n v="40800"/>
    <n v="36200"/>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1F03E1-AFC9-4F5E-BE39-D7CF2CD05682}" name="PivotTable2" cacheId="2"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22">
  <location ref="G7:H11" firstHeaderRow="1" firstDataRow="1" firstDataCol="1"/>
  <pivotFields count="17">
    <pivotField showAll="0"/>
    <pivotField numFmtId="14" showAll="0">
      <items count="111">
        <item x="9"/>
        <item x="90"/>
        <item x="49"/>
        <item x="7"/>
        <item x="13"/>
        <item x="85"/>
        <item x="64"/>
        <item x="21"/>
        <item x="86"/>
        <item x="91"/>
        <item x="46"/>
        <item x="100"/>
        <item x="60"/>
        <item x="55"/>
        <item x="87"/>
        <item x="88"/>
        <item x="8"/>
        <item x="77"/>
        <item x="51"/>
        <item x="68"/>
        <item x="18"/>
        <item x="95"/>
        <item x="81"/>
        <item x="63"/>
        <item x="35"/>
        <item x="20"/>
        <item x="69"/>
        <item x="45"/>
        <item x="33"/>
        <item x="72"/>
        <item x="73"/>
        <item x="50"/>
        <item x="74"/>
        <item x="71"/>
        <item x="94"/>
        <item x="6"/>
        <item x="89"/>
        <item x="98"/>
        <item x="11"/>
        <item x="53"/>
        <item x="84"/>
        <item x="37"/>
        <item x="15"/>
        <item x="43"/>
        <item x="105"/>
        <item x="56"/>
        <item x="19"/>
        <item x="25"/>
        <item x="93"/>
        <item x="92"/>
        <item x="36"/>
        <item x="44"/>
        <item x="78"/>
        <item x="66"/>
        <item x="23"/>
        <item x="54"/>
        <item x="104"/>
        <item x="12"/>
        <item x="29"/>
        <item x="58"/>
        <item x="75"/>
        <item x="10"/>
        <item x="4"/>
        <item x="108"/>
        <item x="47"/>
        <item x="61"/>
        <item x="14"/>
        <item x="103"/>
        <item x="28"/>
        <item x="32"/>
        <item x="38"/>
        <item x="0"/>
        <item x="106"/>
        <item x="107"/>
        <item x="83"/>
        <item x="52"/>
        <item x="65"/>
        <item x="96"/>
        <item x="101"/>
        <item x="67"/>
        <item x="48"/>
        <item x="2"/>
        <item x="97"/>
        <item x="1"/>
        <item x="57"/>
        <item x="39"/>
        <item x="16"/>
        <item x="62"/>
        <item x="3"/>
        <item x="5"/>
        <item x="34"/>
        <item x="99"/>
        <item x="41"/>
        <item x="22"/>
        <item x="30"/>
        <item x="70"/>
        <item x="80"/>
        <item x="24"/>
        <item x="31"/>
        <item x="109"/>
        <item x="82"/>
        <item x="27"/>
        <item x="59"/>
        <item x="76"/>
        <item x="102"/>
        <item x="17"/>
        <item x="26"/>
        <item x="42"/>
        <item x="40"/>
        <item x="79"/>
        <item t="default"/>
      </items>
    </pivotField>
    <pivotField showAll="0">
      <items count="9">
        <item x="7"/>
        <item x="4"/>
        <item x="2"/>
        <item x="5"/>
        <item x="3"/>
        <item x="1"/>
        <item x="6"/>
        <item x="0"/>
        <item t="default"/>
      </items>
    </pivotField>
    <pivotField showAll="0">
      <items count="11">
        <item x="5"/>
        <item x="2"/>
        <item x="7"/>
        <item x="4"/>
        <item x="6"/>
        <item x="3"/>
        <item x="8"/>
        <item x="9"/>
        <item x="1"/>
        <item x="0"/>
        <item t="default"/>
      </items>
    </pivotField>
    <pivotField showAll="0">
      <items count="17">
        <item x="13"/>
        <item x="8"/>
        <item x="6"/>
        <item x="5"/>
        <item x="10"/>
        <item x="7"/>
        <item x="15"/>
        <item x="3"/>
        <item x="0"/>
        <item x="2"/>
        <item x="12"/>
        <item x="9"/>
        <item x="4"/>
        <item x="1"/>
        <item x="14"/>
        <item x="11"/>
        <item t="default"/>
      </items>
    </pivotField>
    <pivotField showAll="0">
      <items count="6">
        <item x="0"/>
        <item x="4"/>
        <item x="3"/>
        <item x="1"/>
        <item x="2"/>
        <item t="default"/>
      </items>
    </pivotField>
    <pivotField showAll="0"/>
    <pivotField numFmtId="165" showAll="0"/>
    <pivotField dataField="1" numFmtId="165" showAll="0"/>
    <pivotField numFmtId="165" showAll="0"/>
    <pivotField numFmtId="165" showAll="0"/>
    <pivotField axis="axisRow" showAll="0">
      <items count="5">
        <item x="2"/>
        <item x="3"/>
        <item x="1"/>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11"/>
  </rowFields>
  <rowItems count="4">
    <i>
      <x/>
    </i>
    <i>
      <x v="1"/>
    </i>
    <i>
      <x v="2"/>
    </i>
    <i>
      <x v="3"/>
    </i>
  </rowItems>
  <colItems count="1">
    <i/>
  </colItems>
  <dataFields count="1">
    <dataField name="Revenue by Payment Method" fld="8" baseField="11" baseItem="0" numFmtId="167"/>
  </dataFields>
  <formats count="1">
    <format dxfId="531">
      <pivotArea outline="0" collapsedLevelsAreSubtotals="1" fieldPosition="0"/>
    </format>
  </formats>
  <chartFormats count="10">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11" count="1" selected="0">
            <x v="0"/>
          </reference>
        </references>
      </pivotArea>
    </chartFormat>
    <chartFormat chart="14" format="8">
      <pivotArea type="data" outline="0" fieldPosition="0">
        <references count="2">
          <reference field="4294967294" count="1" selected="0">
            <x v="0"/>
          </reference>
          <reference field="11" count="1" selected="0">
            <x v="1"/>
          </reference>
        </references>
      </pivotArea>
    </chartFormat>
    <chartFormat chart="14" format="9">
      <pivotArea type="data" outline="0" fieldPosition="0">
        <references count="2">
          <reference field="4294967294" count="1" selected="0">
            <x v="0"/>
          </reference>
          <reference field="11" count="1" selected="0">
            <x v="2"/>
          </reference>
        </references>
      </pivotArea>
    </chartFormat>
    <chartFormat chart="14" format="10">
      <pivotArea type="data" outline="0" fieldPosition="0">
        <references count="2">
          <reference field="4294967294" count="1" selected="0">
            <x v="0"/>
          </reference>
          <reference field="11" count="1" selected="0">
            <x v="3"/>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11" count="1" selected="0">
            <x v="0"/>
          </reference>
        </references>
      </pivotArea>
    </chartFormat>
    <chartFormat chart="19" format="8">
      <pivotArea type="data" outline="0" fieldPosition="0">
        <references count="2">
          <reference field="4294967294" count="1" selected="0">
            <x v="0"/>
          </reference>
          <reference field="11" count="1" selected="0">
            <x v="1"/>
          </reference>
        </references>
      </pivotArea>
    </chartFormat>
    <chartFormat chart="19" format="9">
      <pivotArea type="data" outline="0" fieldPosition="0">
        <references count="2">
          <reference field="4294967294" count="1" selected="0">
            <x v="0"/>
          </reference>
          <reference field="11" count="1" selected="0">
            <x v="2"/>
          </reference>
        </references>
      </pivotArea>
    </chartFormat>
    <chartFormat chart="19" format="10">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CBC7FC-2643-4B5F-87D7-C8096E007657}" name="PivotTable7" cacheId="2"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4">
  <location ref="D7:E14" firstHeaderRow="1" firstDataRow="1" firstDataCol="1"/>
  <pivotFields count="17">
    <pivotField showAll="0"/>
    <pivotField axis="axisRow" numFmtId="14" showAll="0">
      <items count="111">
        <item x="9"/>
        <item x="90"/>
        <item x="49"/>
        <item x="7"/>
        <item x="13"/>
        <item x="85"/>
        <item x="64"/>
        <item x="21"/>
        <item x="86"/>
        <item x="91"/>
        <item x="46"/>
        <item x="100"/>
        <item x="60"/>
        <item x="55"/>
        <item x="87"/>
        <item x="88"/>
        <item x="8"/>
        <item x="77"/>
        <item x="51"/>
        <item x="68"/>
        <item x="18"/>
        <item x="95"/>
        <item x="81"/>
        <item x="63"/>
        <item x="35"/>
        <item x="20"/>
        <item x="69"/>
        <item x="45"/>
        <item x="33"/>
        <item x="72"/>
        <item x="73"/>
        <item x="50"/>
        <item x="74"/>
        <item x="71"/>
        <item x="94"/>
        <item x="6"/>
        <item x="89"/>
        <item x="98"/>
        <item x="11"/>
        <item x="53"/>
        <item x="84"/>
        <item x="37"/>
        <item x="15"/>
        <item x="43"/>
        <item x="105"/>
        <item x="56"/>
        <item x="19"/>
        <item x="25"/>
        <item x="93"/>
        <item x="92"/>
        <item x="36"/>
        <item x="44"/>
        <item x="78"/>
        <item x="66"/>
        <item x="23"/>
        <item x="54"/>
        <item x="104"/>
        <item x="12"/>
        <item x="29"/>
        <item x="58"/>
        <item x="75"/>
        <item x="10"/>
        <item x="4"/>
        <item x="108"/>
        <item x="47"/>
        <item x="61"/>
        <item x="14"/>
        <item x="103"/>
        <item x="28"/>
        <item x="32"/>
        <item x="38"/>
        <item x="0"/>
        <item x="106"/>
        <item x="107"/>
        <item x="83"/>
        <item x="52"/>
        <item x="65"/>
        <item x="96"/>
        <item x="101"/>
        <item x="67"/>
        <item x="48"/>
        <item x="2"/>
        <item x="97"/>
        <item x="1"/>
        <item x="57"/>
        <item x="39"/>
        <item x="16"/>
        <item x="62"/>
        <item x="3"/>
        <item x="5"/>
        <item x="34"/>
        <item x="99"/>
        <item x="41"/>
        <item x="22"/>
        <item x="30"/>
        <item x="70"/>
        <item x="80"/>
        <item x="24"/>
        <item x="31"/>
        <item x="109"/>
        <item x="82"/>
        <item x="27"/>
        <item x="59"/>
        <item x="76"/>
        <item x="102"/>
        <item x="17"/>
        <item x="26"/>
        <item x="42"/>
        <item x="40"/>
        <item x="79"/>
        <item t="default"/>
      </items>
    </pivotField>
    <pivotField showAll="0">
      <items count="9">
        <item x="7"/>
        <item x="4"/>
        <item x="2"/>
        <item x="5"/>
        <item x="3"/>
        <item x="1"/>
        <item x="6"/>
        <item x="0"/>
        <item t="default"/>
      </items>
    </pivotField>
    <pivotField showAll="0">
      <items count="11">
        <item x="5"/>
        <item x="2"/>
        <item x="7"/>
        <item x="4"/>
        <item x="6"/>
        <item x="3"/>
        <item x="8"/>
        <item x="9"/>
        <item x="1"/>
        <item x="0"/>
        <item t="default"/>
      </items>
    </pivotField>
    <pivotField showAll="0"/>
    <pivotField showAll="0">
      <items count="6">
        <item x="0"/>
        <item x="4"/>
        <item x="3"/>
        <item x="1"/>
        <item x="2"/>
        <item t="default"/>
      </items>
    </pivotField>
    <pivotField showAll="0"/>
    <pivotField numFmtId="165" showAll="0"/>
    <pivotField dataField="1" numFmtId="165" showAll="0"/>
    <pivotField numFmtId="165" showAll="0"/>
    <pivotField numFmtId="165" showAll="0"/>
    <pivotField showAll="0">
      <items count="5">
        <item x="2"/>
        <item x="3"/>
        <item x="1"/>
        <item x="0"/>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 dragToRow="0" dragToCol="0" dragToPage="0" showAll="0" defaultSubtotal="0"/>
    <pivotField dragToRow="0" dragToCol="0" dragToPage="0" showAll="0" defaultSubtotal="0"/>
  </pivotFields>
  <rowFields count="3">
    <field x="14"/>
    <field x="13"/>
    <field x="1"/>
  </rowFields>
  <rowItems count="7">
    <i>
      <x v="1"/>
    </i>
    <i>
      <x v="2"/>
    </i>
    <i>
      <x v="3"/>
    </i>
    <i>
      <x v="4"/>
    </i>
    <i>
      <x v="5"/>
    </i>
    <i>
      <x v="6"/>
    </i>
    <i t="grand">
      <x/>
    </i>
  </rowItems>
  <colItems count="1">
    <i/>
  </colItems>
  <dataFields count="1">
    <dataField name="Revenue by month" fld="8" baseField="14" baseItem="1" numFmtId="167"/>
  </dataFields>
  <formats count="1">
    <format dxfId="537">
      <pivotArea outline="0" collapsedLevelsAreSubtotals="1" fieldPosition="0"/>
    </format>
  </formats>
  <chartFormats count="1">
    <chartFormat chart="2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ABBBDE-1AF6-424A-873E-019EA6B78A55}" name="PivotTable9"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28:B34" firstHeaderRow="1" firstDataRow="1" firstDataCol="1"/>
  <pivotFields count="17">
    <pivotField showAll="0"/>
    <pivotField numFmtId="14" showAll="0">
      <items count="111">
        <item x="9"/>
        <item x="90"/>
        <item x="49"/>
        <item x="7"/>
        <item x="13"/>
        <item x="85"/>
        <item x="64"/>
        <item x="21"/>
        <item x="86"/>
        <item x="91"/>
        <item x="46"/>
        <item x="100"/>
        <item x="60"/>
        <item x="55"/>
        <item x="87"/>
        <item x="88"/>
        <item x="8"/>
        <item x="77"/>
        <item x="51"/>
        <item x="68"/>
        <item x="18"/>
        <item x="95"/>
        <item x="81"/>
        <item x="63"/>
        <item x="35"/>
        <item x="20"/>
        <item x="69"/>
        <item x="45"/>
        <item x="33"/>
        <item x="72"/>
        <item x="73"/>
        <item x="50"/>
        <item x="74"/>
        <item x="71"/>
        <item x="94"/>
        <item x="6"/>
        <item x="89"/>
        <item x="98"/>
        <item x="11"/>
        <item x="53"/>
        <item x="84"/>
        <item x="37"/>
        <item x="15"/>
        <item x="43"/>
        <item x="105"/>
        <item x="56"/>
        <item x="19"/>
        <item x="25"/>
        <item x="93"/>
        <item x="92"/>
        <item x="36"/>
        <item x="44"/>
        <item x="78"/>
        <item x="66"/>
        <item x="23"/>
        <item x="54"/>
        <item x="104"/>
        <item x="12"/>
        <item x="29"/>
        <item x="58"/>
        <item x="75"/>
        <item x="10"/>
        <item x="4"/>
        <item x="108"/>
        <item x="47"/>
        <item x="61"/>
        <item x="14"/>
        <item x="103"/>
        <item x="28"/>
        <item x="32"/>
        <item x="38"/>
        <item x="0"/>
        <item x="106"/>
        <item x="107"/>
        <item x="83"/>
        <item x="52"/>
        <item x="65"/>
        <item x="96"/>
        <item x="101"/>
        <item x="67"/>
        <item x="48"/>
        <item x="2"/>
        <item x="97"/>
        <item x="1"/>
        <item x="57"/>
        <item x="39"/>
        <item x="16"/>
        <item x="62"/>
        <item x="3"/>
        <item x="5"/>
        <item x="34"/>
        <item x="99"/>
        <item x="41"/>
        <item x="22"/>
        <item x="30"/>
        <item x="70"/>
        <item x="80"/>
        <item x="24"/>
        <item x="31"/>
        <item x="109"/>
        <item x="82"/>
        <item x="27"/>
        <item x="59"/>
        <item x="76"/>
        <item x="102"/>
        <item x="17"/>
        <item x="26"/>
        <item x="42"/>
        <item x="40"/>
        <item x="79"/>
        <item t="default"/>
      </items>
    </pivotField>
    <pivotField showAll="0">
      <items count="9">
        <item x="7"/>
        <item x="4"/>
        <item x="2"/>
        <item x="5"/>
        <item x="3"/>
        <item x="1"/>
        <item x="6"/>
        <item x="0"/>
        <item t="default"/>
      </items>
    </pivotField>
    <pivotField showAll="0">
      <items count="11">
        <item x="5"/>
        <item x="2"/>
        <item x="7"/>
        <item x="4"/>
        <item x="6"/>
        <item x="3"/>
        <item x="8"/>
        <item x="9"/>
        <item x="1"/>
        <item x="0"/>
        <item t="default"/>
      </items>
    </pivotField>
    <pivotField axis="axisRow" showAll="0" measureFilter="1" sortType="descending">
      <items count="17">
        <item x="13"/>
        <item x="8"/>
        <item x="6"/>
        <item x="5"/>
        <item x="10"/>
        <item x="7"/>
        <item x="15"/>
        <item x="3"/>
        <item x="0"/>
        <item x="2"/>
        <item x="12"/>
        <item x="9"/>
        <item x="4"/>
        <item x="1"/>
        <item x="14"/>
        <item x="11"/>
        <item t="default"/>
      </items>
      <autoSortScope>
        <pivotArea dataOnly="0" outline="0" fieldPosition="0">
          <references count="1">
            <reference field="4294967294" count="1" selected="0">
              <x v="0"/>
            </reference>
          </references>
        </pivotArea>
      </autoSortScope>
    </pivotField>
    <pivotField showAll="0">
      <items count="6">
        <item x="0"/>
        <item x="4"/>
        <item x="3"/>
        <item x="1"/>
        <item x="2"/>
        <item t="default"/>
      </items>
    </pivotField>
    <pivotField showAll="0"/>
    <pivotField numFmtId="165" showAll="0"/>
    <pivotField dataField="1" numFmtId="165" showAll="0"/>
    <pivotField numFmtId="165" showAll="0"/>
    <pivotField numFmtId="165" showAll="0"/>
    <pivotField showAll="0">
      <items count="5">
        <item x="2"/>
        <item x="3"/>
        <item x="1"/>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4"/>
  </rowFields>
  <rowItems count="6">
    <i>
      <x v="5"/>
    </i>
    <i>
      <x v="4"/>
    </i>
    <i>
      <x/>
    </i>
    <i>
      <x v="13"/>
    </i>
    <i>
      <x v="11"/>
    </i>
    <i t="grand">
      <x/>
    </i>
  </rowItems>
  <colItems count="1">
    <i/>
  </colItems>
  <dataFields count="1">
    <dataField name="Top five product by Revenue" fld="8" baseField="4" baseItem="0" numFmtId="165"/>
  </dataFields>
  <formats count="1">
    <format dxfId="536">
      <pivotArea collapsedLevelsAreSubtotals="1" fieldPosition="0">
        <references count="1">
          <reference field="4" count="5">
            <x v="0"/>
            <x v="4"/>
            <x v="5"/>
            <x v="11"/>
            <x v="13"/>
          </reference>
        </references>
      </pivotArea>
    </format>
  </formats>
  <chartFormats count="2">
    <chartFormat chart="0"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3B5FFC-CFBD-4960-B479-DCABF0A24DCF}" name="PivotTable1" cacheId="2"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E3:E4" firstHeaderRow="1" firstDataRow="1" firstDataCol="0" rowPageCount="1" colPageCount="1"/>
  <pivotFields count="17">
    <pivotField showAll="0"/>
    <pivotField numFmtId="14" showAll="0">
      <items count="111">
        <item x="9"/>
        <item x="90"/>
        <item x="49"/>
        <item x="7"/>
        <item x="13"/>
        <item x="85"/>
        <item x="64"/>
        <item x="21"/>
        <item x="86"/>
        <item x="91"/>
        <item x="46"/>
        <item x="100"/>
        <item x="60"/>
        <item x="55"/>
        <item x="87"/>
        <item x="88"/>
        <item x="8"/>
        <item x="77"/>
        <item x="51"/>
        <item x="68"/>
        <item x="18"/>
        <item x="95"/>
        <item x="81"/>
        <item x="63"/>
        <item x="35"/>
        <item x="20"/>
        <item x="69"/>
        <item x="45"/>
        <item x="33"/>
        <item x="72"/>
        <item x="73"/>
        <item x="50"/>
        <item x="74"/>
        <item x="71"/>
        <item x="94"/>
        <item x="6"/>
        <item x="89"/>
        <item x="98"/>
        <item x="11"/>
        <item x="53"/>
        <item x="84"/>
        <item x="37"/>
        <item x="15"/>
        <item x="43"/>
        <item x="105"/>
        <item x="56"/>
        <item x="19"/>
        <item x="25"/>
        <item x="93"/>
        <item x="92"/>
        <item x="36"/>
        <item x="44"/>
        <item x="78"/>
        <item x="66"/>
        <item x="23"/>
        <item x="54"/>
        <item x="104"/>
        <item x="12"/>
        <item x="29"/>
        <item x="58"/>
        <item x="75"/>
        <item x="10"/>
        <item x="4"/>
        <item x="108"/>
        <item x="47"/>
        <item x="61"/>
        <item x="14"/>
        <item x="103"/>
        <item x="28"/>
        <item x="32"/>
        <item x="38"/>
        <item x="0"/>
        <item x="106"/>
        <item x="107"/>
        <item x="83"/>
        <item x="52"/>
        <item x="65"/>
        <item x="96"/>
        <item x="101"/>
        <item x="67"/>
        <item x="48"/>
        <item x="2"/>
        <item x="97"/>
        <item x="1"/>
        <item x="57"/>
        <item x="39"/>
        <item x="16"/>
        <item x="62"/>
        <item x="3"/>
        <item x="5"/>
        <item x="34"/>
        <item x="99"/>
        <item x="41"/>
        <item x="22"/>
        <item x="30"/>
        <item x="70"/>
        <item x="80"/>
        <item x="24"/>
        <item x="31"/>
        <item x="109"/>
        <item x="82"/>
        <item x="27"/>
        <item x="59"/>
        <item x="76"/>
        <item x="102"/>
        <item x="17"/>
        <item x="26"/>
        <item x="42"/>
        <item x="40"/>
        <item x="79"/>
        <item t="default"/>
      </items>
    </pivotField>
    <pivotField showAll="0">
      <items count="9">
        <item x="7"/>
        <item x="4"/>
        <item x="2"/>
        <item x="5"/>
        <item x="3"/>
        <item x="1"/>
        <item x="6"/>
        <item x="0"/>
        <item t="default"/>
      </items>
    </pivotField>
    <pivotField showAll="0">
      <items count="11">
        <item x="5"/>
        <item x="2"/>
        <item x="7"/>
        <item x="4"/>
        <item x="6"/>
        <item x="3"/>
        <item x="8"/>
        <item x="9"/>
        <item x="1"/>
        <item x="0"/>
        <item t="default"/>
      </items>
    </pivotField>
    <pivotField showAll="0"/>
    <pivotField showAll="0">
      <items count="6">
        <item x="0"/>
        <item x="4"/>
        <item x="3"/>
        <item x="1"/>
        <item x="2"/>
        <item t="default"/>
      </items>
    </pivotField>
    <pivotField dataField="1" showAll="0"/>
    <pivotField numFmtId="165" showAll="0"/>
    <pivotField numFmtId="165" showAll="0"/>
    <pivotField numFmtId="165" showAll="0"/>
    <pivotField numFmtId="165" showAll="0"/>
    <pivotField showAll="0">
      <items count="5">
        <item x="2"/>
        <item x="3"/>
        <item x="1"/>
        <item x="0"/>
        <item t="default"/>
      </items>
    </pivotField>
    <pivotField axis="axisPage" multipleItemSelectionAllowed="1" showAll="0">
      <items count="5">
        <item h="1" x="2"/>
        <item x="0"/>
        <item h="1" x="3"/>
        <item h="1" x="1"/>
        <item t="default"/>
      </items>
    </pivotField>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Items count="1">
    <i/>
  </rowItems>
  <colItems count="1">
    <i/>
  </colItems>
  <pageFields count="1">
    <pageField fld="12" hier="-1"/>
  </pageFields>
  <dataFields count="1">
    <dataField name="Total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98778D-1F43-4FC0-87DA-A662D61FC2A4}" name="PivotTable14" cacheId="2"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B3:B4" firstHeaderRow="1" firstDataRow="1" firstDataCol="0" rowPageCount="1" colPageCount="1"/>
  <pivotFields count="17">
    <pivotField showAll="0"/>
    <pivotField numFmtId="14" showAll="0">
      <items count="111">
        <item x="9"/>
        <item x="90"/>
        <item x="49"/>
        <item x="7"/>
        <item x="13"/>
        <item x="85"/>
        <item x="64"/>
        <item x="21"/>
        <item x="86"/>
        <item x="91"/>
        <item x="46"/>
        <item x="100"/>
        <item x="60"/>
        <item x="55"/>
        <item x="87"/>
        <item x="88"/>
        <item x="8"/>
        <item x="77"/>
        <item x="51"/>
        <item x="68"/>
        <item x="18"/>
        <item x="95"/>
        <item x="81"/>
        <item x="63"/>
        <item x="35"/>
        <item x="20"/>
        <item x="69"/>
        <item x="45"/>
        <item x="33"/>
        <item x="72"/>
        <item x="73"/>
        <item x="50"/>
        <item x="74"/>
        <item x="71"/>
        <item x="94"/>
        <item x="6"/>
        <item x="89"/>
        <item x="98"/>
        <item x="11"/>
        <item x="53"/>
        <item x="84"/>
        <item x="37"/>
        <item x="15"/>
        <item x="43"/>
        <item x="105"/>
        <item x="56"/>
        <item x="19"/>
        <item x="25"/>
        <item x="93"/>
        <item x="92"/>
        <item x="36"/>
        <item x="44"/>
        <item x="78"/>
        <item x="66"/>
        <item x="23"/>
        <item x="54"/>
        <item x="104"/>
        <item x="12"/>
        <item x="29"/>
        <item x="58"/>
        <item x="75"/>
        <item x="10"/>
        <item x="4"/>
        <item x="108"/>
        <item x="47"/>
        <item x="61"/>
        <item x="14"/>
        <item x="103"/>
        <item x="28"/>
        <item x="32"/>
        <item x="38"/>
        <item x="0"/>
        <item x="106"/>
        <item x="107"/>
        <item x="83"/>
        <item x="52"/>
        <item x="65"/>
        <item x="96"/>
        <item x="101"/>
        <item x="67"/>
        <item x="48"/>
        <item x="2"/>
        <item x="97"/>
        <item x="1"/>
        <item x="57"/>
        <item x="39"/>
        <item x="16"/>
        <item x="62"/>
        <item x="3"/>
        <item x="5"/>
        <item x="34"/>
        <item x="99"/>
        <item x="41"/>
        <item x="22"/>
        <item x="30"/>
        <item x="70"/>
        <item x="80"/>
        <item x="24"/>
        <item x="31"/>
        <item x="109"/>
        <item x="82"/>
        <item x="27"/>
        <item x="59"/>
        <item x="76"/>
        <item x="102"/>
        <item x="17"/>
        <item x="26"/>
        <item x="42"/>
        <item x="40"/>
        <item x="79"/>
        <item t="default"/>
      </items>
    </pivotField>
    <pivotField showAll="0">
      <items count="9">
        <item x="7"/>
        <item x="4"/>
        <item x="2"/>
        <item x="5"/>
        <item x="3"/>
        <item x="1"/>
        <item x="6"/>
        <item x="0"/>
        <item t="default"/>
      </items>
    </pivotField>
    <pivotField showAll="0">
      <items count="11">
        <item x="5"/>
        <item x="2"/>
        <item x="7"/>
        <item x="4"/>
        <item x="6"/>
        <item x="3"/>
        <item x="8"/>
        <item x="9"/>
        <item x="1"/>
        <item x="0"/>
        <item t="default"/>
      </items>
    </pivotField>
    <pivotField showAll="0"/>
    <pivotField showAll="0">
      <items count="6">
        <item x="0"/>
        <item x="4"/>
        <item x="3"/>
        <item x="1"/>
        <item x="2"/>
        <item t="default"/>
      </items>
    </pivotField>
    <pivotField showAll="0"/>
    <pivotField numFmtId="165" showAll="0"/>
    <pivotField dataField="1" numFmtId="165" showAll="0"/>
    <pivotField numFmtId="165" showAll="0"/>
    <pivotField numFmtId="165" showAll="0"/>
    <pivotField showAll="0">
      <items count="5">
        <item x="2"/>
        <item x="3"/>
        <item x="1"/>
        <item x="0"/>
        <item t="default"/>
      </items>
    </pivotField>
    <pivotField axis="axisPage" multipleItemSelectionAllowed="1" showAll="0">
      <items count="5">
        <item h="1" x="2"/>
        <item x="0"/>
        <item h="1" x="3"/>
        <item h="1" x="1"/>
        <item t="default"/>
      </items>
    </pivotField>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Items count="1">
    <i/>
  </rowItems>
  <colItems count="1">
    <i/>
  </colItems>
  <pageFields count="1">
    <pageField fld="12" hier="-1"/>
  </pageFields>
  <dataFields count="1">
    <dataField name="Sum of Revenue" fld="8" baseField="0" baseItem="0" numFmtId="167"/>
  </dataFields>
  <formats count="1">
    <format dxfId="5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1651FE-A7A3-437E-89E7-CC698144440C}" name="PivotTable13" cacheId="2"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M3:N4" firstHeaderRow="0" firstDataRow="1" firstDataCol="0" rowPageCount="1" colPageCount="1"/>
  <pivotFields count="17">
    <pivotField showAll="0"/>
    <pivotField numFmtId="14" showAll="0">
      <items count="111">
        <item x="9"/>
        <item x="90"/>
        <item x="49"/>
        <item x="7"/>
        <item x="13"/>
        <item x="85"/>
        <item x="64"/>
        <item x="21"/>
        <item x="86"/>
        <item x="91"/>
        <item x="46"/>
        <item x="100"/>
        <item x="60"/>
        <item x="55"/>
        <item x="87"/>
        <item x="88"/>
        <item x="8"/>
        <item x="77"/>
        <item x="51"/>
        <item x="68"/>
        <item x="18"/>
        <item x="95"/>
        <item x="81"/>
        <item x="63"/>
        <item x="35"/>
        <item x="20"/>
        <item x="69"/>
        <item x="45"/>
        <item x="33"/>
        <item x="72"/>
        <item x="73"/>
        <item x="50"/>
        <item x="74"/>
        <item x="71"/>
        <item x="94"/>
        <item x="6"/>
        <item x="89"/>
        <item x="98"/>
        <item x="11"/>
        <item x="53"/>
        <item x="84"/>
        <item x="37"/>
        <item x="15"/>
        <item x="43"/>
        <item x="105"/>
        <item x="56"/>
        <item x="19"/>
        <item x="25"/>
        <item x="93"/>
        <item x="92"/>
        <item x="36"/>
        <item x="44"/>
        <item x="78"/>
        <item x="66"/>
        <item x="23"/>
        <item x="54"/>
        <item x="104"/>
        <item x="12"/>
        <item x="29"/>
        <item x="58"/>
        <item x="75"/>
        <item x="10"/>
        <item x="4"/>
        <item x="108"/>
        <item x="47"/>
        <item x="61"/>
        <item x="14"/>
        <item x="103"/>
        <item x="28"/>
        <item x="32"/>
        <item x="38"/>
        <item x="0"/>
        <item x="106"/>
        <item x="107"/>
        <item x="83"/>
        <item x="52"/>
        <item x="65"/>
        <item x="96"/>
        <item x="101"/>
        <item x="67"/>
        <item x="48"/>
        <item x="2"/>
        <item x="97"/>
        <item x="1"/>
        <item x="57"/>
        <item x="39"/>
        <item x="16"/>
        <item x="62"/>
        <item x="3"/>
        <item x="5"/>
        <item x="34"/>
        <item x="99"/>
        <item x="41"/>
        <item x="22"/>
        <item x="30"/>
        <item x="70"/>
        <item x="80"/>
        <item x="24"/>
        <item x="31"/>
        <item x="109"/>
        <item x="82"/>
        <item x="27"/>
        <item x="59"/>
        <item x="76"/>
        <item x="102"/>
        <item x="17"/>
        <item x="26"/>
        <item x="42"/>
        <item x="40"/>
        <item x="79"/>
        <item t="default"/>
      </items>
    </pivotField>
    <pivotField showAll="0">
      <items count="9">
        <item x="7"/>
        <item x="4"/>
        <item x="2"/>
        <item x="5"/>
        <item x="3"/>
        <item x="1"/>
        <item x="6"/>
        <item x="0"/>
        <item t="default"/>
      </items>
    </pivotField>
    <pivotField showAll="0">
      <items count="11">
        <item x="5"/>
        <item x="2"/>
        <item x="7"/>
        <item x="4"/>
        <item x="6"/>
        <item x="3"/>
        <item x="8"/>
        <item x="9"/>
        <item x="1"/>
        <item x="0"/>
        <item t="default"/>
      </items>
    </pivotField>
    <pivotField showAll="0"/>
    <pivotField showAll="0">
      <items count="6">
        <item x="0"/>
        <item x="4"/>
        <item x="3"/>
        <item x="1"/>
        <item x="2"/>
        <item t="default"/>
      </items>
    </pivotField>
    <pivotField showAll="0"/>
    <pivotField numFmtId="165" showAll="0"/>
    <pivotField dataField="1" numFmtId="165" showAll="0"/>
    <pivotField numFmtId="165" showAll="0"/>
    <pivotField numFmtId="165" showAll="0"/>
    <pivotField showAll="0">
      <items count="5">
        <item x="2"/>
        <item x="3"/>
        <item x="1"/>
        <item x="0"/>
        <item t="default"/>
      </items>
    </pivotField>
    <pivotField axis="axisPage" multipleItemSelectionAllowed="1" showAll="0">
      <items count="5">
        <item h="1" x="2"/>
        <item x="0"/>
        <item h="1" x="3"/>
        <item h="1" x="1"/>
        <item t="default"/>
      </items>
    </pivotField>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ataField="1" dragToRow="0" dragToCol="0" dragToPage="0" showAll="0" defaultSubtotal="0"/>
  </pivotFields>
  <rowItems count="1">
    <i/>
  </rowItems>
  <colFields count="1">
    <field x="-2"/>
  </colFields>
  <colItems count="2">
    <i>
      <x/>
    </i>
    <i i="1">
      <x v="1"/>
    </i>
  </colItems>
  <pageFields count="1">
    <pageField fld="12" hier="-1"/>
  </pageFields>
  <dataFields count="2">
    <dataField name="Average of Revenue" fld="8" subtotal="average" baseField="0" baseItem="0" numFmtId="165"/>
    <dataField name="Sum of Field1" fld="16" baseField="0" baseItem="0" numFmtId="165"/>
  </dataFields>
  <formats count="1">
    <format dxfId="5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184D6F-137C-4A6B-88C4-515D0621E977}" name="PivotTable11" cacheId="2"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K3:K4" firstHeaderRow="1" firstDataRow="1" firstDataCol="0" rowPageCount="1" colPageCount="1"/>
  <pivotFields count="17">
    <pivotField showAll="0"/>
    <pivotField numFmtId="14" showAll="0">
      <items count="111">
        <item x="9"/>
        <item x="90"/>
        <item x="49"/>
        <item x="7"/>
        <item x="13"/>
        <item x="85"/>
        <item x="64"/>
        <item x="21"/>
        <item x="86"/>
        <item x="91"/>
        <item x="46"/>
        <item x="100"/>
        <item x="60"/>
        <item x="55"/>
        <item x="87"/>
        <item x="88"/>
        <item x="8"/>
        <item x="77"/>
        <item x="51"/>
        <item x="68"/>
        <item x="18"/>
        <item x="95"/>
        <item x="81"/>
        <item x="63"/>
        <item x="35"/>
        <item x="20"/>
        <item x="69"/>
        <item x="45"/>
        <item x="33"/>
        <item x="72"/>
        <item x="73"/>
        <item x="50"/>
        <item x="74"/>
        <item x="71"/>
        <item x="94"/>
        <item x="6"/>
        <item x="89"/>
        <item x="98"/>
        <item x="11"/>
        <item x="53"/>
        <item x="84"/>
        <item x="37"/>
        <item x="15"/>
        <item x="43"/>
        <item x="105"/>
        <item x="56"/>
        <item x="19"/>
        <item x="25"/>
        <item x="93"/>
        <item x="92"/>
        <item x="36"/>
        <item x="44"/>
        <item x="78"/>
        <item x="66"/>
        <item x="23"/>
        <item x="54"/>
        <item x="104"/>
        <item x="12"/>
        <item x="29"/>
        <item x="58"/>
        <item x="75"/>
        <item x="10"/>
        <item x="4"/>
        <item x="108"/>
        <item x="47"/>
        <item x="61"/>
        <item x="14"/>
        <item x="103"/>
        <item x="28"/>
        <item x="32"/>
        <item x="38"/>
        <item x="0"/>
        <item x="106"/>
        <item x="107"/>
        <item x="83"/>
        <item x="52"/>
        <item x="65"/>
        <item x="96"/>
        <item x="101"/>
        <item x="67"/>
        <item x="48"/>
        <item x="2"/>
        <item x="97"/>
        <item x="1"/>
        <item x="57"/>
        <item x="39"/>
        <item x="16"/>
        <item x="62"/>
        <item x="3"/>
        <item x="5"/>
        <item x="34"/>
        <item x="99"/>
        <item x="41"/>
        <item x="22"/>
        <item x="30"/>
        <item x="70"/>
        <item x="80"/>
        <item x="24"/>
        <item x="31"/>
        <item x="109"/>
        <item x="82"/>
        <item x="27"/>
        <item x="59"/>
        <item x="76"/>
        <item x="102"/>
        <item x="17"/>
        <item x="26"/>
        <item x="42"/>
        <item x="40"/>
        <item x="79"/>
        <item t="default"/>
      </items>
    </pivotField>
    <pivotField showAll="0">
      <items count="9">
        <item x="7"/>
        <item x="4"/>
        <item x="2"/>
        <item x="5"/>
        <item x="3"/>
        <item x="1"/>
        <item x="6"/>
        <item x="0"/>
        <item t="default"/>
      </items>
    </pivotField>
    <pivotField showAll="0">
      <items count="11">
        <item x="5"/>
        <item x="2"/>
        <item x="7"/>
        <item x="4"/>
        <item x="6"/>
        <item x="3"/>
        <item x="8"/>
        <item x="9"/>
        <item x="1"/>
        <item x="0"/>
        <item t="default"/>
      </items>
    </pivotField>
    <pivotField showAll="0"/>
    <pivotField showAll="0">
      <items count="6">
        <item x="0"/>
        <item x="4"/>
        <item x="3"/>
        <item x="1"/>
        <item x="2"/>
        <item t="default"/>
      </items>
    </pivotField>
    <pivotField showAll="0"/>
    <pivotField numFmtId="165" showAll="0"/>
    <pivotField numFmtId="165" showAll="0"/>
    <pivotField numFmtId="165" showAll="0"/>
    <pivotField numFmtId="165" showAll="0"/>
    <pivotField showAll="0">
      <items count="5">
        <item x="2"/>
        <item x="3"/>
        <item x="1"/>
        <item x="0"/>
        <item t="default"/>
      </items>
    </pivotField>
    <pivotField axis="axisPage" multipleItemSelectionAllowed="1" showAll="0">
      <items count="5">
        <item h="1" x="2"/>
        <item x="0"/>
        <item h="1" x="3"/>
        <item h="1" x="1"/>
        <item t="default"/>
      </items>
    </pivotField>
    <pivotField showAll="0" defaultSubtotal="0"/>
    <pivotField showAll="0" defaultSubtotal="0">
      <items count="14">
        <item x="0"/>
        <item x="1"/>
        <item x="2"/>
        <item x="3"/>
        <item x="4"/>
        <item x="5"/>
        <item x="6"/>
        <item x="7"/>
        <item x="8"/>
        <item x="9"/>
        <item x="10"/>
        <item x="11"/>
        <item x="12"/>
        <item x="13"/>
      </items>
    </pivotField>
    <pivotField dataField="1" dragToRow="0" dragToCol="0" dragToPage="0" showAll="0" defaultSubtotal="0"/>
    <pivotField dragToRow="0" dragToCol="0" dragToPage="0" showAll="0" defaultSubtotal="0"/>
  </pivotFields>
  <rowItems count="1">
    <i/>
  </rowItems>
  <colItems count="1">
    <i/>
  </colItems>
  <pageFields count="1">
    <pageField fld="12" hier="-1"/>
  </pageFields>
  <dataFields count="1">
    <dataField name="Sum of Profit Margin" fld="15" baseField="0" baseItem="0" numFmtId="9"/>
  </dataFields>
  <formats count="1">
    <format dxfId="5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6ACC38-120A-4C1C-B087-D1EC8EDEB4C8}" name="PivotTable10"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D17:E28" firstHeaderRow="1" firstDataRow="1" firstDataCol="1"/>
  <pivotFields count="17">
    <pivotField dataField="1" showAll="0"/>
    <pivotField numFmtId="14" showAll="0">
      <items count="111">
        <item x="9"/>
        <item x="90"/>
        <item x="49"/>
        <item x="7"/>
        <item x="13"/>
        <item x="85"/>
        <item x="64"/>
        <item x="21"/>
        <item x="86"/>
        <item x="91"/>
        <item x="46"/>
        <item x="100"/>
        <item x="60"/>
        <item x="55"/>
        <item x="87"/>
        <item x="88"/>
        <item x="8"/>
        <item x="77"/>
        <item x="51"/>
        <item x="68"/>
        <item x="18"/>
        <item x="95"/>
        <item x="81"/>
        <item x="63"/>
        <item x="35"/>
        <item x="20"/>
        <item x="69"/>
        <item x="45"/>
        <item x="33"/>
        <item x="72"/>
        <item x="73"/>
        <item x="50"/>
        <item x="74"/>
        <item x="71"/>
        <item x="94"/>
        <item x="6"/>
        <item x="89"/>
        <item x="98"/>
        <item x="11"/>
        <item x="53"/>
        <item x="84"/>
        <item x="37"/>
        <item x="15"/>
        <item x="43"/>
        <item x="105"/>
        <item x="56"/>
        <item x="19"/>
        <item x="25"/>
        <item x="93"/>
        <item x="92"/>
        <item x="36"/>
        <item x="44"/>
        <item x="78"/>
        <item x="66"/>
        <item x="23"/>
        <item x="54"/>
        <item x="104"/>
        <item x="12"/>
        <item x="29"/>
        <item x="58"/>
        <item x="75"/>
        <item x="10"/>
        <item x="4"/>
        <item x="108"/>
        <item x="47"/>
        <item x="61"/>
        <item x="14"/>
        <item x="103"/>
        <item x="28"/>
        <item x="32"/>
        <item x="38"/>
        <item x="0"/>
        <item x="106"/>
        <item x="107"/>
        <item x="83"/>
        <item x="52"/>
        <item x="65"/>
        <item x="96"/>
        <item x="101"/>
        <item x="67"/>
        <item x="48"/>
        <item x="2"/>
        <item x="97"/>
        <item x="1"/>
        <item x="57"/>
        <item x="39"/>
        <item x="16"/>
        <item x="62"/>
        <item x="3"/>
        <item x="5"/>
        <item x="34"/>
        <item x="99"/>
        <item x="41"/>
        <item x="22"/>
        <item x="30"/>
        <item x="70"/>
        <item x="80"/>
        <item x="24"/>
        <item x="31"/>
        <item x="109"/>
        <item x="82"/>
        <item x="27"/>
        <item x="59"/>
        <item x="76"/>
        <item x="102"/>
        <item x="17"/>
        <item x="26"/>
        <item x="42"/>
        <item x="40"/>
        <item x="79"/>
        <item t="default"/>
      </items>
    </pivotField>
    <pivotField showAll="0">
      <items count="9">
        <item x="7"/>
        <item x="4"/>
        <item x="2"/>
        <item x="5"/>
        <item x="3"/>
        <item x="1"/>
        <item x="6"/>
        <item x="0"/>
        <item t="default"/>
      </items>
    </pivotField>
    <pivotField axis="axisRow" showAll="0" sortType="descending">
      <items count="11">
        <item x="5"/>
        <item x="2"/>
        <item x="7"/>
        <item x="4"/>
        <item x="6"/>
        <item x="3"/>
        <item x="8"/>
        <item x="9"/>
        <item x="1"/>
        <item x="0"/>
        <item t="default"/>
      </items>
      <autoSortScope>
        <pivotArea dataOnly="0" outline="0" fieldPosition="0">
          <references count="1">
            <reference field="4294967294" count="1" selected="0">
              <x v="0"/>
            </reference>
          </references>
        </pivotArea>
      </autoSortScope>
    </pivotField>
    <pivotField showAll="0"/>
    <pivotField showAll="0">
      <items count="6">
        <item x="0"/>
        <item x="4"/>
        <item x="3"/>
        <item x="1"/>
        <item x="2"/>
        <item t="default"/>
      </items>
    </pivotField>
    <pivotField showAll="0"/>
    <pivotField numFmtId="165" showAll="0"/>
    <pivotField numFmtId="165" showAll="0"/>
    <pivotField numFmtId="165" showAll="0"/>
    <pivotField numFmtId="165" showAll="0"/>
    <pivotField showAll="0">
      <items count="5">
        <item x="2"/>
        <item x="3"/>
        <item x="1"/>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3"/>
  </rowFields>
  <rowItems count="11">
    <i>
      <x v="5"/>
    </i>
    <i>
      <x v="2"/>
    </i>
    <i>
      <x v="8"/>
    </i>
    <i>
      <x v="1"/>
    </i>
    <i>
      <x v="3"/>
    </i>
    <i>
      <x/>
    </i>
    <i>
      <x v="9"/>
    </i>
    <i>
      <x v="6"/>
    </i>
    <i>
      <x v="7"/>
    </i>
    <i>
      <x v="4"/>
    </i>
    <i t="grand">
      <x/>
    </i>
  </rowItems>
  <colItems count="1">
    <i/>
  </colItems>
  <dataFields count="1">
    <dataField name="order by salesperson" fld="0" subtotal="count" baseField="3"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32495EC-4E14-4265-893B-FA8229CFDEA2}" name="PivotTable6"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A7:B16" firstHeaderRow="1" firstDataRow="1" firstDataCol="1"/>
  <pivotFields count="17">
    <pivotField showAll="0"/>
    <pivotField numFmtId="14" showAll="0">
      <items count="111">
        <item x="9"/>
        <item x="90"/>
        <item x="49"/>
        <item x="7"/>
        <item x="13"/>
        <item x="85"/>
        <item x="64"/>
        <item x="21"/>
        <item x="86"/>
        <item x="91"/>
        <item x="46"/>
        <item x="100"/>
        <item x="60"/>
        <item x="55"/>
        <item x="87"/>
        <item x="88"/>
        <item x="8"/>
        <item x="77"/>
        <item x="51"/>
        <item x="68"/>
        <item x="18"/>
        <item x="95"/>
        <item x="81"/>
        <item x="63"/>
        <item x="35"/>
        <item x="20"/>
        <item x="69"/>
        <item x="45"/>
        <item x="33"/>
        <item x="72"/>
        <item x="73"/>
        <item x="50"/>
        <item x="74"/>
        <item x="71"/>
        <item x="94"/>
        <item x="6"/>
        <item x="89"/>
        <item x="98"/>
        <item x="11"/>
        <item x="53"/>
        <item x="84"/>
        <item x="37"/>
        <item x="15"/>
        <item x="43"/>
        <item x="105"/>
        <item x="56"/>
        <item x="19"/>
        <item x="25"/>
        <item x="93"/>
        <item x="92"/>
        <item x="36"/>
        <item x="44"/>
        <item x="78"/>
        <item x="66"/>
        <item x="23"/>
        <item x="54"/>
        <item x="104"/>
        <item x="12"/>
        <item x="29"/>
        <item x="58"/>
        <item x="75"/>
        <item x="10"/>
        <item x="4"/>
        <item x="108"/>
        <item x="47"/>
        <item x="61"/>
        <item x="14"/>
        <item x="103"/>
        <item x="28"/>
        <item x="32"/>
        <item x="38"/>
        <item x="0"/>
        <item x="106"/>
        <item x="107"/>
        <item x="83"/>
        <item x="52"/>
        <item x="65"/>
        <item x="96"/>
        <item x="101"/>
        <item x="67"/>
        <item x="48"/>
        <item x="2"/>
        <item x="97"/>
        <item x="1"/>
        <item x="57"/>
        <item x="39"/>
        <item x="16"/>
        <item x="62"/>
        <item x="3"/>
        <item x="5"/>
        <item x="34"/>
        <item x="99"/>
        <item x="41"/>
        <item x="22"/>
        <item x="30"/>
        <item x="70"/>
        <item x="80"/>
        <item x="24"/>
        <item x="31"/>
        <item x="109"/>
        <item x="82"/>
        <item x="27"/>
        <item x="59"/>
        <item x="76"/>
        <item x="102"/>
        <item x="17"/>
        <item x="26"/>
        <item x="42"/>
        <item x="40"/>
        <item x="79"/>
        <item t="default"/>
      </items>
    </pivotField>
    <pivotField axis="axisRow" showAll="0" sortType="descending">
      <items count="9">
        <item x="7"/>
        <item x="4"/>
        <item x="2"/>
        <item x="5"/>
        <item x="3"/>
        <item x="1"/>
        <item x="6"/>
        <item x="0"/>
        <item t="default"/>
      </items>
      <autoSortScope>
        <pivotArea dataOnly="0" outline="0" fieldPosition="0">
          <references count="1">
            <reference field="4294967294" count="1" selected="0">
              <x v="0"/>
            </reference>
          </references>
        </pivotArea>
      </autoSortScope>
    </pivotField>
    <pivotField showAll="0">
      <items count="11">
        <item x="5"/>
        <item x="2"/>
        <item x="7"/>
        <item x="4"/>
        <item x="6"/>
        <item x="3"/>
        <item x="8"/>
        <item x="9"/>
        <item x="1"/>
        <item x="0"/>
        <item t="default"/>
      </items>
    </pivotField>
    <pivotField showAll="0"/>
    <pivotField showAll="0">
      <items count="6">
        <item x="0"/>
        <item x="4"/>
        <item x="3"/>
        <item x="1"/>
        <item x="2"/>
        <item t="default"/>
      </items>
    </pivotField>
    <pivotField showAll="0"/>
    <pivotField numFmtId="165" showAll="0"/>
    <pivotField dataField="1" numFmtId="165" showAll="0"/>
    <pivotField numFmtId="165" showAll="0"/>
    <pivotField numFmtId="165" showAll="0"/>
    <pivotField showAll="0">
      <items count="5">
        <item x="2"/>
        <item x="3"/>
        <item x="1"/>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2"/>
  </rowFields>
  <rowItems count="9">
    <i>
      <x v="5"/>
    </i>
    <i>
      <x/>
    </i>
    <i>
      <x v="6"/>
    </i>
    <i>
      <x v="3"/>
    </i>
    <i>
      <x v="7"/>
    </i>
    <i>
      <x v="2"/>
    </i>
    <i>
      <x v="1"/>
    </i>
    <i>
      <x v="4"/>
    </i>
    <i t="grand">
      <x/>
    </i>
  </rowItems>
  <colItems count="1">
    <i/>
  </colItems>
  <dataFields count="1">
    <dataField name="Revenue by Region" fld="8" baseField="2" baseItem="0" numFmtId="167"/>
  </dataFields>
  <formats count="1">
    <format dxfId="53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40C7023-AA09-47CE-ADB7-77D4597C0229}" name="PivotTable5"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3:I4" firstHeaderRow="1" firstDataRow="1" firstDataCol="0" rowPageCount="1" colPageCount="1"/>
  <pivotFields count="17">
    <pivotField dataField="1" showAll="0"/>
    <pivotField numFmtId="14" showAll="0">
      <items count="111">
        <item x="9"/>
        <item x="90"/>
        <item x="49"/>
        <item x="7"/>
        <item x="13"/>
        <item x="85"/>
        <item x="64"/>
        <item x="21"/>
        <item x="86"/>
        <item x="91"/>
        <item x="46"/>
        <item x="100"/>
        <item x="60"/>
        <item x="55"/>
        <item x="87"/>
        <item x="88"/>
        <item x="8"/>
        <item x="77"/>
        <item x="51"/>
        <item x="68"/>
        <item x="18"/>
        <item x="95"/>
        <item x="81"/>
        <item x="63"/>
        <item x="35"/>
        <item x="20"/>
        <item x="69"/>
        <item x="45"/>
        <item x="33"/>
        <item x="72"/>
        <item x="73"/>
        <item x="50"/>
        <item x="74"/>
        <item x="71"/>
        <item x="94"/>
        <item x="6"/>
        <item x="89"/>
        <item x="98"/>
        <item x="11"/>
        <item x="53"/>
        <item x="84"/>
        <item x="37"/>
        <item x="15"/>
        <item x="43"/>
        <item x="105"/>
        <item x="56"/>
        <item x="19"/>
        <item x="25"/>
        <item x="93"/>
        <item x="92"/>
        <item x="36"/>
        <item x="44"/>
        <item x="78"/>
        <item x="66"/>
        <item x="23"/>
        <item x="54"/>
        <item x="104"/>
        <item x="12"/>
        <item x="29"/>
        <item x="58"/>
        <item x="75"/>
        <item x="10"/>
        <item x="4"/>
        <item x="108"/>
        <item x="47"/>
        <item x="61"/>
        <item x="14"/>
        <item x="103"/>
        <item x="28"/>
        <item x="32"/>
        <item x="38"/>
        <item x="0"/>
        <item x="106"/>
        <item x="107"/>
        <item x="83"/>
        <item x="52"/>
        <item x="65"/>
        <item x="96"/>
        <item x="101"/>
        <item x="67"/>
        <item x="48"/>
        <item x="2"/>
        <item x="97"/>
        <item x="1"/>
        <item x="57"/>
        <item x="39"/>
        <item x="16"/>
        <item x="62"/>
        <item x="3"/>
        <item x="5"/>
        <item x="34"/>
        <item x="99"/>
        <item x="41"/>
        <item x="22"/>
        <item x="30"/>
        <item x="70"/>
        <item x="80"/>
        <item x="24"/>
        <item x="31"/>
        <item x="109"/>
        <item x="82"/>
        <item x="27"/>
        <item x="59"/>
        <item x="76"/>
        <item x="102"/>
        <item x="17"/>
        <item x="26"/>
        <item x="42"/>
        <item x="40"/>
        <item x="79"/>
        <item t="default"/>
      </items>
    </pivotField>
    <pivotField showAll="0">
      <items count="9">
        <item x="7"/>
        <item x="4"/>
        <item x="2"/>
        <item x="5"/>
        <item x="3"/>
        <item x="1"/>
        <item x="6"/>
        <item x="0"/>
        <item t="default"/>
      </items>
    </pivotField>
    <pivotField showAll="0">
      <items count="11">
        <item x="5"/>
        <item x="2"/>
        <item x="7"/>
        <item x="4"/>
        <item x="6"/>
        <item x="3"/>
        <item x="8"/>
        <item x="9"/>
        <item x="1"/>
        <item x="0"/>
        <item t="default"/>
      </items>
    </pivotField>
    <pivotField showAll="0"/>
    <pivotField showAll="0">
      <items count="6">
        <item x="0"/>
        <item x="4"/>
        <item x="3"/>
        <item x="1"/>
        <item x="2"/>
        <item t="default"/>
      </items>
    </pivotField>
    <pivotField showAll="0"/>
    <pivotField numFmtId="165" showAll="0"/>
    <pivotField numFmtId="165" showAll="0"/>
    <pivotField numFmtId="165" showAll="0"/>
    <pivotField numFmtId="165" showAll="0"/>
    <pivotField showAll="0">
      <items count="5">
        <item x="2"/>
        <item x="3"/>
        <item x="1"/>
        <item x="0"/>
        <item t="default"/>
      </items>
    </pivotField>
    <pivotField axis="axisPage" multipleItemSelectionAllowed="1" showAll="0">
      <items count="5">
        <item h="1" x="2"/>
        <item x="0"/>
        <item h="1" x="3"/>
        <item h="1" x="1"/>
        <item t="default"/>
      </items>
    </pivotField>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Items count="1">
    <i/>
  </rowItems>
  <colItems count="1">
    <i/>
  </colItems>
  <pageFields count="1">
    <pageField fld="12" hier="-1"/>
  </pageFields>
  <dataFields count="1">
    <dataField name="Number of 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4AB4408-7AE9-4798-9990-0432F03FD71E}" name="PivotTable1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19:B25" firstHeaderRow="1" firstDataRow="1" firstDataCol="1"/>
  <pivotFields count="17">
    <pivotField showAll="0"/>
    <pivotField numFmtId="14" showAll="0">
      <items count="111">
        <item x="9"/>
        <item x="90"/>
        <item x="49"/>
        <item x="7"/>
        <item x="13"/>
        <item x="85"/>
        <item x="64"/>
        <item x="21"/>
        <item x="86"/>
        <item x="91"/>
        <item x="46"/>
        <item x="100"/>
        <item x="60"/>
        <item x="55"/>
        <item x="87"/>
        <item x="88"/>
        <item x="8"/>
        <item x="77"/>
        <item x="51"/>
        <item x="68"/>
        <item x="18"/>
        <item x="95"/>
        <item x="81"/>
        <item x="63"/>
        <item x="35"/>
        <item x="20"/>
        <item x="69"/>
        <item x="45"/>
        <item x="33"/>
        <item x="72"/>
        <item x="73"/>
        <item x="50"/>
        <item x="74"/>
        <item x="71"/>
        <item x="94"/>
        <item x="6"/>
        <item x="89"/>
        <item x="98"/>
        <item x="11"/>
        <item x="53"/>
        <item x="84"/>
        <item x="37"/>
        <item x="15"/>
        <item x="43"/>
        <item x="105"/>
        <item x="56"/>
        <item x="19"/>
        <item x="25"/>
        <item x="93"/>
        <item x="92"/>
        <item x="36"/>
        <item x="44"/>
        <item x="78"/>
        <item x="66"/>
        <item x="23"/>
        <item x="54"/>
        <item x="104"/>
        <item x="12"/>
        <item x="29"/>
        <item x="58"/>
        <item x="75"/>
        <item x="10"/>
        <item x="4"/>
        <item x="108"/>
        <item x="47"/>
        <item x="61"/>
        <item x="14"/>
        <item x="103"/>
        <item x="28"/>
        <item x="32"/>
        <item x="38"/>
        <item x="0"/>
        <item x="106"/>
        <item x="107"/>
        <item x="83"/>
        <item x="52"/>
        <item x="65"/>
        <item x="96"/>
        <item x="101"/>
        <item x="67"/>
        <item x="48"/>
        <item x="2"/>
        <item x="97"/>
        <item x="1"/>
        <item x="57"/>
        <item x="39"/>
        <item x="16"/>
        <item x="62"/>
        <item x="3"/>
        <item x="5"/>
        <item x="34"/>
        <item x="99"/>
        <item x="41"/>
        <item x="22"/>
        <item x="30"/>
        <item x="70"/>
        <item x="80"/>
        <item x="24"/>
        <item x="31"/>
        <item x="109"/>
        <item x="82"/>
        <item x="27"/>
        <item x="59"/>
        <item x="76"/>
        <item x="102"/>
        <item x="17"/>
        <item x="26"/>
        <item x="42"/>
        <item x="40"/>
        <item x="79"/>
        <item t="default"/>
      </items>
    </pivotField>
    <pivotField showAll="0">
      <items count="9">
        <item x="7"/>
        <item x="4"/>
        <item x="2"/>
        <item x="5"/>
        <item x="3"/>
        <item x="1"/>
        <item x="6"/>
        <item x="0"/>
        <item t="default"/>
      </items>
    </pivotField>
    <pivotField showAll="0">
      <items count="11">
        <item x="5"/>
        <item x="2"/>
        <item x="7"/>
        <item x="4"/>
        <item x="6"/>
        <item x="3"/>
        <item x="8"/>
        <item x="9"/>
        <item x="1"/>
        <item x="0"/>
        <item t="default"/>
      </items>
    </pivotField>
    <pivotField showAll="0"/>
    <pivotField axis="axisRow" showAll="0">
      <items count="6">
        <item x="0"/>
        <item x="4"/>
        <item x="3"/>
        <item x="1"/>
        <item x="2"/>
        <item t="default"/>
      </items>
    </pivotField>
    <pivotField showAll="0"/>
    <pivotField numFmtId="165" showAll="0"/>
    <pivotField numFmtId="165" showAll="0"/>
    <pivotField numFmtId="165" showAll="0"/>
    <pivotField dataField="1" numFmtId="165" showAll="0"/>
    <pivotField showAll="0">
      <items count="5">
        <item x="2"/>
        <item x="3"/>
        <item x="1"/>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5"/>
  </rowFields>
  <rowItems count="6">
    <i>
      <x/>
    </i>
    <i>
      <x v="1"/>
    </i>
    <i>
      <x v="2"/>
    </i>
    <i>
      <x v="3"/>
    </i>
    <i>
      <x v="4"/>
    </i>
    <i t="grand">
      <x/>
    </i>
  </rowItems>
  <colItems count="1">
    <i/>
  </colItems>
  <dataFields count="1">
    <dataField name=" Profit by Category" fld="10" baseField="5" baseItem="0" numFmtId="167"/>
  </dataFields>
  <formats count="1">
    <format dxfId="53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E3CA63C-306D-48DC-8F0D-962938C74E21}" name="PivotTable4" cacheId="2"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G3:G4" firstHeaderRow="1" firstDataRow="1" firstDataCol="0" rowPageCount="1" colPageCount="1"/>
  <pivotFields count="17">
    <pivotField showAll="0"/>
    <pivotField numFmtId="14" showAll="0">
      <items count="111">
        <item x="9"/>
        <item x="90"/>
        <item x="49"/>
        <item x="7"/>
        <item x="13"/>
        <item x="85"/>
        <item x="64"/>
        <item x="21"/>
        <item x="86"/>
        <item x="91"/>
        <item x="46"/>
        <item x="100"/>
        <item x="60"/>
        <item x="55"/>
        <item x="87"/>
        <item x="88"/>
        <item x="8"/>
        <item x="77"/>
        <item x="51"/>
        <item x="68"/>
        <item x="18"/>
        <item x="95"/>
        <item x="81"/>
        <item x="63"/>
        <item x="35"/>
        <item x="20"/>
        <item x="69"/>
        <item x="45"/>
        <item x="33"/>
        <item x="72"/>
        <item x="73"/>
        <item x="50"/>
        <item x="74"/>
        <item x="71"/>
        <item x="94"/>
        <item x="6"/>
        <item x="89"/>
        <item x="98"/>
        <item x="11"/>
        <item x="53"/>
        <item x="84"/>
        <item x="37"/>
        <item x="15"/>
        <item x="43"/>
        <item x="105"/>
        <item x="56"/>
        <item x="19"/>
        <item x="25"/>
        <item x="93"/>
        <item x="92"/>
        <item x="36"/>
        <item x="44"/>
        <item x="78"/>
        <item x="66"/>
        <item x="23"/>
        <item x="54"/>
        <item x="104"/>
        <item x="12"/>
        <item x="29"/>
        <item x="58"/>
        <item x="75"/>
        <item x="10"/>
        <item x="4"/>
        <item x="108"/>
        <item x="47"/>
        <item x="61"/>
        <item x="14"/>
        <item x="103"/>
        <item x="28"/>
        <item x="32"/>
        <item x="38"/>
        <item x="0"/>
        <item x="106"/>
        <item x="107"/>
        <item x="83"/>
        <item x="52"/>
        <item x="65"/>
        <item x="96"/>
        <item x="101"/>
        <item x="67"/>
        <item x="48"/>
        <item x="2"/>
        <item x="97"/>
        <item x="1"/>
        <item x="57"/>
        <item x="39"/>
        <item x="16"/>
        <item x="62"/>
        <item x="3"/>
        <item x="5"/>
        <item x="34"/>
        <item x="99"/>
        <item x="41"/>
        <item x="22"/>
        <item x="30"/>
        <item x="70"/>
        <item x="80"/>
        <item x="24"/>
        <item x="31"/>
        <item x="109"/>
        <item x="82"/>
        <item x="27"/>
        <item x="59"/>
        <item x="76"/>
        <item x="102"/>
        <item x="17"/>
        <item x="26"/>
        <item x="42"/>
        <item x="40"/>
        <item x="79"/>
        <item t="default"/>
      </items>
    </pivotField>
    <pivotField showAll="0">
      <items count="9">
        <item x="7"/>
        <item x="4"/>
        <item x="2"/>
        <item x="5"/>
        <item x="3"/>
        <item x="1"/>
        <item x="6"/>
        <item x="0"/>
        <item t="default"/>
      </items>
    </pivotField>
    <pivotField showAll="0">
      <items count="11">
        <item x="5"/>
        <item x="2"/>
        <item x="7"/>
        <item x="4"/>
        <item x="6"/>
        <item x="3"/>
        <item x="8"/>
        <item x="9"/>
        <item x="1"/>
        <item x="0"/>
        <item t="default"/>
      </items>
    </pivotField>
    <pivotField showAll="0"/>
    <pivotField showAll="0">
      <items count="6">
        <item x="0"/>
        <item x="4"/>
        <item x="3"/>
        <item x="1"/>
        <item x="2"/>
        <item t="default"/>
      </items>
    </pivotField>
    <pivotField showAll="0"/>
    <pivotField numFmtId="165" showAll="0"/>
    <pivotField numFmtId="165" showAll="0"/>
    <pivotField numFmtId="165" showAll="0"/>
    <pivotField dataField="1" numFmtId="165" showAll="0"/>
    <pivotField showAll="0">
      <items count="5">
        <item x="2"/>
        <item x="3"/>
        <item x="1"/>
        <item x="0"/>
        <item t="default"/>
      </items>
    </pivotField>
    <pivotField axis="axisPage" multipleItemSelectionAllowed="1" showAll="0">
      <items count="5">
        <item h="1" x="2"/>
        <item x="0"/>
        <item h="1" x="3"/>
        <item h="1" x="1"/>
        <item t="default"/>
      </items>
    </pivotField>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Items count="1">
    <i/>
  </rowItems>
  <colItems count="1">
    <i/>
  </colItems>
  <pageFields count="1">
    <pageField fld="12" hier="-1"/>
  </pageFields>
  <dataFields count="1">
    <dataField name="Total Profit" fld="10" baseField="0" baseItem="0" numFmtId="167"/>
  </dataFields>
  <formats count="1">
    <format dxfId="5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26F31FBB-4307-4942-9614-53649D55BE1C}" sourceName="Salesperson">
  <pivotTables>
    <pivotTable tabId="4" name="PivotTable12"/>
    <pivotTable tabId="4" name="PivotTable10"/>
    <pivotTable tabId="4" name="PivotTable6"/>
    <pivotTable tabId="4" name="PivotTable7"/>
    <pivotTable tabId="4" name="PivotTable9"/>
    <pivotTable tabId="4" name="PivotTable1"/>
    <pivotTable tabId="4" name="PivotTable11"/>
    <pivotTable tabId="4" name="PivotTable13"/>
    <pivotTable tabId="4" name="PivotTable14"/>
    <pivotTable tabId="4" name="PivotTable4"/>
    <pivotTable tabId="4" name="PivotTable5"/>
    <pivotTable tabId="4" name="PivotTable2"/>
  </pivotTables>
  <data>
    <tabular pivotCacheId="1892259931">
      <items count="10">
        <i x="5" s="1"/>
        <i x="2" s="1"/>
        <i x="7" s="1"/>
        <i x="4" s="1"/>
        <i x="6" s="1"/>
        <i x="3" s="1"/>
        <i x="8" s="1"/>
        <i x="9"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7FDEFC9-233D-4EB6-B720-B5FC9F090C29}" sourceName="Category">
  <pivotTables>
    <pivotTable tabId="4" name="PivotTable12"/>
    <pivotTable tabId="4" name="PivotTable10"/>
    <pivotTable tabId="4" name="PivotTable6"/>
    <pivotTable tabId="4" name="PivotTable7"/>
    <pivotTable tabId="4" name="PivotTable9"/>
    <pivotTable tabId="4" name="PivotTable1"/>
    <pivotTable tabId="4" name="PivotTable11"/>
    <pivotTable tabId="4" name="PivotTable13"/>
    <pivotTable tabId="4" name="PivotTable14"/>
    <pivotTable tabId="4" name="PivotTable4"/>
    <pivotTable tabId="4" name="PivotTable5"/>
    <pivotTable tabId="4" name="PivotTable2"/>
  </pivotTables>
  <data>
    <tabular pivotCacheId="1892259931">
      <items count="5">
        <i x="0" s="1"/>
        <i x="4"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4F2FE16-BF52-4525-9F07-0DBE6C463E42}" sourceName="Payment Method">
  <pivotTables>
    <pivotTable tabId="4" name="PivotTable12"/>
    <pivotTable tabId="4" name="PivotTable10"/>
    <pivotTable tabId="4" name="PivotTable6"/>
    <pivotTable tabId="4" name="PivotTable7"/>
    <pivotTable tabId="4" name="PivotTable9"/>
    <pivotTable tabId="4" name="PivotTable1"/>
    <pivotTable tabId="4" name="PivotTable11"/>
    <pivotTable tabId="4" name="PivotTable13"/>
    <pivotTable tabId="4" name="PivotTable14"/>
    <pivotTable tabId="4" name="PivotTable4"/>
    <pivotTable tabId="4" name="PivotTable5"/>
    <pivotTable tabId="4" name="PivotTable2"/>
  </pivotTables>
  <data>
    <tabular pivotCacheId="1892259931">
      <items count="4">
        <i x="2" s="1"/>
        <i x="3"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F8FA60-9925-4923-B3A2-23AC70434044}" sourceName="Region">
  <pivotTables>
    <pivotTable tabId="4" name="PivotTable12"/>
    <pivotTable tabId="4" name="PivotTable10"/>
    <pivotTable tabId="4" name="PivotTable6"/>
    <pivotTable tabId="4" name="PivotTable7"/>
    <pivotTable tabId="4" name="PivotTable9"/>
    <pivotTable tabId="4" name="PivotTable1"/>
    <pivotTable tabId="4" name="PivotTable11"/>
    <pivotTable tabId="4" name="PivotTable13"/>
    <pivotTable tabId="4" name="PivotTable14"/>
    <pivotTable tabId="4" name="PivotTable4"/>
    <pivotTable tabId="4" name="PivotTable5"/>
    <pivotTable tabId="4" name="PivotTable2"/>
  </pivotTables>
  <data>
    <tabular pivotCacheId="1892259931">
      <items count="8">
        <i x="7" s="1"/>
        <i x="4" s="1"/>
        <i x="2" s="1"/>
        <i x="5" s="1"/>
        <i x="3" s="1"/>
        <i x="1" s="1"/>
        <i x="6"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D732F25A-A8DC-44AF-935F-61DA03D35773}" cache="Slicer_Salesperson" caption="Salesperson" columnCount="2" rowHeight="241300"/>
  <slicer name="Category" xr10:uid="{1DD6E0FB-DDE5-4A54-9765-689B9200BEBD}" cache="Slicer_Category" caption="Category" startItem="2" columnCount="2" rowHeight="241300"/>
  <slicer name="Payment Method" xr10:uid="{8AF9A8F5-7915-43C8-8C85-12E7C763D121}" cache="Slicer_Payment_Method" caption="Payment Method" columnCount="2" rowHeight="241300"/>
  <slicer name="Region" xr10:uid="{2E29EC1C-60D7-4790-88C8-657045319F4F}" cache="Slicer_Region" caption="Region"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B60B00-F7DF-44F8-A552-1B39365A2DCF}" name="Sales_Data" displayName="Sales_Data" ref="A1:M161" totalsRowShown="0" headerRowDxfId="690" dataDxfId="689" tableBorderDxfId="688">
  <autoFilter ref="A1:M161" xr:uid="{70B60B00-F7DF-44F8-A552-1B39365A2DCF}"/>
  <tableColumns count="13">
    <tableColumn id="1" xr3:uid="{E870D24A-B819-4516-92D1-C86AA04FDCC6}" name="Order ID" dataDxfId="687"/>
    <tableColumn id="2" xr3:uid="{452BD921-4B80-4582-808E-BB952816A643}" name="Date" dataDxfId="686"/>
    <tableColumn id="3" xr3:uid="{2195CBFC-F239-4D1B-8E0E-87B50E386E11}" name="Region" dataDxfId="685"/>
    <tableColumn id="4" xr3:uid="{3A3F2137-6FF5-4233-876F-812049DB45BB}" name="Salesperson" dataDxfId="684"/>
    <tableColumn id="5" xr3:uid="{62988B2E-C571-4B67-969F-8CAFA0E4E426}" name="Product" dataDxfId="683"/>
    <tableColumn id="6" xr3:uid="{625C3459-062A-4030-9112-5FE05A208563}" name="Category" dataDxfId="682"/>
    <tableColumn id="7" xr3:uid="{6E9852CA-8D93-4701-BF6F-9930A05FA639}" name="Quantity" dataDxfId="681"/>
    <tableColumn id="8" xr3:uid="{A6750138-FFEF-4B83-9C44-9BA81FCEC1AE}" name="Unit Price" dataDxfId="680"/>
    <tableColumn id="9" xr3:uid="{60B1465B-7C6C-4E05-923B-887356307645}" name="Revenue" dataDxfId="679"/>
    <tableColumn id="10" xr3:uid="{EC069E60-C877-4D62-9CE2-4F827B3E0D1B}" name="Cost" dataDxfId="678"/>
    <tableColumn id="11" xr3:uid="{DF1C64C5-C1DE-4738-BDA5-9039A372B981}" name="Profit" dataDxfId="677"/>
    <tableColumn id="12" xr3:uid="{FC136317-5EF7-4D6C-B903-5C9554D87E15}" name="Payment Method" dataDxfId="676"/>
    <tableColumn id="13" xr3:uid="{38A9AB1D-B267-4945-8758-7114AB28F1B1}" name="Status" dataDxfId="675"/>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E8C8C83-6256-44A7-9B40-F9F57855E9CE}" sourceName="Date">
  <pivotTables>
    <pivotTable tabId="4" name="PivotTable7"/>
    <pivotTable tabId="4" name="PivotTable1"/>
    <pivotTable tabId="4" name="PivotTable10"/>
    <pivotTable tabId="4" name="PivotTable11"/>
    <pivotTable tabId="4" name="PivotTable12"/>
    <pivotTable tabId="4" name="PivotTable13"/>
    <pivotTable tabId="4" name="PivotTable14"/>
    <pivotTable tabId="4" name="PivotTable4"/>
    <pivotTable tabId="4" name="PivotTable5"/>
    <pivotTable tabId="4" name="PivotTable6"/>
    <pivotTable tabId="4" name="PivotTable9"/>
    <pivotTable tabId="4" name="PivotTable2"/>
  </pivotTables>
  <state minimalRefreshVersion="6" lastRefreshVersion="6" pivotCacheId="1892259931"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5D4A0870-7D44-4335-950A-2AB0E62EEEE4}" cache="NativeTimeline_Date" caption="Date" showSelectionLabel="0" showTimeLevel="0" showHorizontalScrollbar="0" level="2" selectionLevel="2" scrollPosition="2026-02-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1"/>
  <sheetViews>
    <sheetView tabSelected="1" workbookViewId="0">
      <pane ySplit="1" topLeftCell="A2" activePane="bottomLeft" state="frozen"/>
      <selection activeCell="D1" sqref="D1"/>
      <selection pane="bottomLeft" activeCell="J35" sqref="J35"/>
    </sheetView>
  </sheetViews>
  <sheetFormatPr defaultRowHeight="14.25"/>
  <cols>
    <col min="1" max="1" width="16" customWidth="1"/>
    <col min="2" max="2" width="16" style="9" customWidth="1"/>
    <col min="3" max="11" width="16" customWidth="1"/>
    <col min="12" max="12" width="17.5" customWidth="1"/>
    <col min="13" max="13" width="16" customWidth="1"/>
  </cols>
  <sheetData>
    <row r="1" spans="1:13" ht="15">
      <c r="A1" s="3" t="s">
        <v>0</v>
      </c>
      <c r="B1" s="8" t="s">
        <v>1</v>
      </c>
      <c r="C1" s="3" t="s">
        <v>2</v>
      </c>
      <c r="D1" s="3" t="s">
        <v>3</v>
      </c>
      <c r="E1" s="3" t="s">
        <v>4</v>
      </c>
      <c r="F1" s="3" t="s">
        <v>5</v>
      </c>
      <c r="G1" s="4" t="s">
        <v>6</v>
      </c>
      <c r="H1" s="5" t="s">
        <v>7</v>
      </c>
      <c r="I1" s="5" t="s">
        <v>8</v>
      </c>
      <c r="J1" s="5" t="s">
        <v>9</v>
      </c>
      <c r="K1" s="5" t="s">
        <v>10</v>
      </c>
      <c r="L1" s="3" t="s">
        <v>11</v>
      </c>
      <c r="M1" s="3" t="s">
        <v>12</v>
      </c>
    </row>
    <row r="2" spans="1:13">
      <c r="A2" s="1" t="s">
        <v>13</v>
      </c>
      <c r="B2" s="6">
        <v>46138</v>
      </c>
      <c r="C2" s="1" t="s">
        <v>14</v>
      </c>
      <c r="D2" s="1" t="s">
        <v>15</v>
      </c>
      <c r="E2" s="1" t="s">
        <v>16</v>
      </c>
      <c r="F2" s="1" t="s">
        <v>17</v>
      </c>
      <c r="G2" s="1">
        <v>3</v>
      </c>
      <c r="H2" s="11">
        <v>14600</v>
      </c>
      <c r="I2" s="11">
        <v>43800</v>
      </c>
      <c r="J2" s="11">
        <v>21000</v>
      </c>
      <c r="K2" s="11">
        <v>22800</v>
      </c>
      <c r="L2" s="1" t="s">
        <v>18</v>
      </c>
      <c r="M2" s="1" t="s">
        <v>19</v>
      </c>
    </row>
    <row r="3" spans="1:13">
      <c r="A3" s="2" t="s">
        <v>20</v>
      </c>
      <c r="B3" s="7">
        <v>46159</v>
      </c>
      <c r="C3" s="2" t="s">
        <v>21</v>
      </c>
      <c r="D3" s="2" t="s">
        <v>22</v>
      </c>
      <c r="E3" s="2" t="s">
        <v>23</v>
      </c>
      <c r="F3" s="2" t="s">
        <v>24</v>
      </c>
      <c r="G3" s="2">
        <v>3</v>
      </c>
      <c r="H3" s="12">
        <v>173800</v>
      </c>
      <c r="I3" s="12">
        <v>521400</v>
      </c>
      <c r="J3" s="12">
        <v>349200</v>
      </c>
      <c r="K3" s="12">
        <v>172200</v>
      </c>
      <c r="L3" s="2" t="s">
        <v>18</v>
      </c>
      <c r="M3" s="2" t="s">
        <v>25</v>
      </c>
    </row>
    <row r="4" spans="1:13">
      <c r="A4" s="1" t="s">
        <v>26</v>
      </c>
      <c r="B4" s="6">
        <v>46156</v>
      </c>
      <c r="C4" s="1" t="s">
        <v>21</v>
      </c>
      <c r="D4" s="1" t="s">
        <v>27</v>
      </c>
      <c r="E4" s="1" t="s">
        <v>28</v>
      </c>
      <c r="F4" s="1" t="s">
        <v>24</v>
      </c>
      <c r="G4" s="1">
        <v>1</v>
      </c>
      <c r="H4" s="11">
        <v>77500</v>
      </c>
      <c r="I4" s="11">
        <v>77500</v>
      </c>
      <c r="J4" s="11">
        <v>44500</v>
      </c>
      <c r="K4" s="11">
        <v>33000</v>
      </c>
      <c r="L4" s="1" t="s">
        <v>18</v>
      </c>
      <c r="M4" s="1" t="s">
        <v>19</v>
      </c>
    </row>
    <row r="5" spans="1:13">
      <c r="A5" s="2" t="s">
        <v>29</v>
      </c>
      <c r="B5" s="7">
        <v>46168</v>
      </c>
      <c r="C5" s="2" t="s">
        <v>14</v>
      </c>
      <c r="D5" s="2" t="s">
        <v>30</v>
      </c>
      <c r="E5" s="2" t="s">
        <v>23</v>
      </c>
      <c r="F5" s="2" t="s">
        <v>24</v>
      </c>
      <c r="G5" s="2">
        <v>6</v>
      </c>
      <c r="H5" s="12">
        <v>172700</v>
      </c>
      <c r="I5" s="12">
        <v>1036200</v>
      </c>
      <c r="J5" s="12">
        <v>741600</v>
      </c>
      <c r="K5" s="12">
        <v>294600</v>
      </c>
      <c r="L5" s="2" t="s">
        <v>31</v>
      </c>
      <c r="M5" s="2" t="s">
        <v>32</v>
      </c>
    </row>
    <row r="6" spans="1:13">
      <c r="A6" s="1" t="s">
        <v>33</v>
      </c>
      <c r="B6" s="6">
        <v>46122</v>
      </c>
      <c r="C6" s="1" t="s">
        <v>21</v>
      </c>
      <c r="D6" s="1" t="s">
        <v>34</v>
      </c>
      <c r="E6" s="1" t="s">
        <v>35</v>
      </c>
      <c r="F6" s="1" t="s">
        <v>24</v>
      </c>
      <c r="G6" s="1">
        <v>3</v>
      </c>
      <c r="H6" s="11">
        <v>144100</v>
      </c>
      <c r="I6" s="11">
        <v>432300</v>
      </c>
      <c r="J6" s="11">
        <v>291300</v>
      </c>
      <c r="K6" s="11">
        <v>141000</v>
      </c>
      <c r="L6" s="1" t="s">
        <v>36</v>
      </c>
      <c r="M6" s="1" t="s">
        <v>19</v>
      </c>
    </row>
    <row r="7" spans="1:13">
      <c r="A7" s="2" t="s">
        <v>37</v>
      </c>
      <c r="B7" s="7">
        <v>46156</v>
      </c>
      <c r="C7" s="2" t="s">
        <v>38</v>
      </c>
      <c r="D7" s="2" t="s">
        <v>39</v>
      </c>
      <c r="E7" s="2" t="s">
        <v>35</v>
      </c>
      <c r="F7" s="2" t="s">
        <v>24</v>
      </c>
      <c r="G7" s="2">
        <v>3</v>
      </c>
      <c r="H7" s="12">
        <v>134900</v>
      </c>
      <c r="I7" s="12">
        <v>404700</v>
      </c>
      <c r="J7" s="12">
        <v>270300</v>
      </c>
      <c r="K7" s="12">
        <v>134400</v>
      </c>
      <c r="L7" s="2" t="s">
        <v>18</v>
      </c>
      <c r="M7" s="2" t="s">
        <v>25</v>
      </c>
    </row>
    <row r="8" spans="1:13">
      <c r="A8" s="1" t="s">
        <v>40</v>
      </c>
      <c r="B8" s="6">
        <v>46169</v>
      </c>
      <c r="C8" s="1" t="s">
        <v>21</v>
      </c>
      <c r="D8" s="1" t="s">
        <v>41</v>
      </c>
      <c r="E8" s="1" t="s">
        <v>42</v>
      </c>
      <c r="F8" s="1" t="s">
        <v>43</v>
      </c>
      <c r="G8" s="1">
        <v>2</v>
      </c>
      <c r="H8" s="11">
        <v>65300</v>
      </c>
      <c r="I8" s="11">
        <v>130600</v>
      </c>
      <c r="J8" s="11">
        <v>86800</v>
      </c>
      <c r="K8" s="11">
        <v>43800</v>
      </c>
      <c r="L8" s="1" t="s">
        <v>18</v>
      </c>
      <c r="M8" s="1" t="s">
        <v>19</v>
      </c>
    </row>
    <row r="9" spans="1:13">
      <c r="A9" s="2" t="s">
        <v>44</v>
      </c>
      <c r="B9" s="7">
        <v>46080</v>
      </c>
      <c r="C9" s="2" t="s">
        <v>45</v>
      </c>
      <c r="D9" s="2" t="s">
        <v>46</v>
      </c>
      <c r="E9" s="2" t="s">
        <v>47</v>
      </c>
      <c r="F9" s="2" t="s">
        <v>17</v>
      </c>
      <c r="G9" s="2">
        <v>10</v>
      </c>
      <c r="H9" s="12">
        <v>22600</v>
      </c>
      <c r="I9" s="12">
        <v>226000</v>
      </c>
      <c r="J9" s="12">
        <v>110000</v>
      </c>
      <c r="K9" s="12">
        <v>116000</v>
      </c>
      <c r="L9" s="2" t="s">
        <v>18</v>
      </c>
      <c r="M9" s="2" t="s">
        <v>25</v>
      </c>
    </row>
    <row r="10" spans="1:13">
      <c r="A10" s="1" t="s">
        <v>48</v>
      </c>
      <c r="B10" s="6">
        <v>46027</v>
      </c>
      <c r="C10" s="1" t="s">
        <v>49</v>
      </c>
      <c r="D10" s="1" t="s">
        <v>22</v>
      </c>
      <c r="E10" s="1" t="s">
        <v>35</v>
      </c>
      <c r="F10" s="1" t="s">
        <v>24</v>
      </c>
      <c r="G10" s="1">
        <v>5</v>
      </c>
      <c r="H10" s="11">
        <v>133700</v>
      </c>
      <c r="I10" s="11">
        <v>668500</v>
      </c>
      <c r="J10" s="11">
        <v>460500</v>
      </c>
      <c r="K10" s="11">
        <v>208000</v>
      </c>
      <c r="L10" s="1" t="s">
        <v>50</v>
      </c>
      <c r="M10" s="1" t="s">
        <v>19</v>
      </c>
    </row>
    <row r="11" spans="1:13">
      <c r="A11" s="2" t="s">
        <v>51</v>
      </c>
      <c r="B11" s="7">
        <v>46048</v>
      </c>
      <c r="C11" s="2" t="s">
        <v>52</v>
      </c>
      <c r="D11" s="2" t="s">
        <v>27</v>
      </c>
      <c r="E11" s="2" t="s">
        <v>53</v>
      </c>
      <c r="F11" s="2" t="s">
        <v>17</v>
      </c>
      <c r="G11" s="2">
        <v>1</v>
      </c>
      <c r="H11" s="12">
        <v>26600</v>
      </c>
      <c r="I11" s="12">
        <v>26600</v>
      </c>
      <c r="J11" s="12">
        <v>14500</v>
      </c>
      <c r="K11" s="12">
        <v>12100</v>
      </c>
      <c r="L11" s="2" t="s">
        <v>18</v>
      </c>
      <c r="M11" s="2" t="s">
        <v>25</v>
      </c>
    </row>
    <row r="12" spans="1:13">
      <c r="A12" s="1" t="s">
        <v>54</v>
      </c>
      <c r="B12" s="6">
        <v>46024</v>
      </c>
      <c r="C12" s="1" t="s">
        <v>49</v>
      </c>
      <c r="D12" s="1" t="s">
        <v>55</v>
      </c>
      <c r="E12" s="1" t="s">
        <v>47</v>
      </c>
      <c r="F12" s="1" t="s">
        <v>17</v>
      </c>
      <c r="G12" s="1">
        <v>2</v>
      </c>
      <c r="H12" s="11">
        <v>21400</v>
      </c>
      <c r="I12" s="11">
        <v>42800</v>
      </c>
      <c r="J12" s="11">
        <v>22400</v>
      </c>
      <c r="K12" s="11">
        <v>20400</v>
      </c>
      <c r="L12" s="1" t="s">
        <v>36</v>
      </c>
      <c r="M12" s="1" t="s">
        <v>19</v>
      </c>
    </row>
    <row r="13" spans="1:13">
      <c r="A13" s="2" t="s">
        <v>56</v>
      </c>
      <c r="B13" s="7">
        <v>46121</v>
      </c>
      <c r="C13" s="2" t="s">
        <v>21</v>
      </c>
      <c r="D13" s="2" t="s">
        <v>57</v>
      </c>
      <c r="E13" s="2" t="s">
        <v>23</v>
      </c>
      <c r="F13" s="2" t="s">
        <v>24</v>
      </c>
      <c r="G13" s="2">
        <v>3</v>
      </c>
      <c r="H13" s="12">
        <v>172900</v>
      </c>
      <c r="I13" s="12">
        <v>518700</v>
      </c>
      <c r="J13" s="12">
        <v>357300</v>
      </c>
      <c r="K13" s="12">
        <v>161400</v>
      </c>
      <c r="L13" s="2" t="s">
        <v>36</v>
      </c>
      <c r="M13" s="2" t="s">
        <v>25</v>
      </c>
    </row>
    <row r="14" spans="1:13">
      <c r="A14" s="1" t="s">
        <v>58</v>
      </c>
      <c r="B14" s="6">
        <v>46084</v>
      </c>
      <c r="C14" s="1" t="s">
        <v>21</v>
      </c>
      <c r="D14" s="1" t="s">
        <v>57</v>
      </c>
      <c r="E14" s="1" t="s">
        <v>59</v>
      </c>
      <c r="F14" s="1" t="s">
        <v>60</v>
      </c>
      <c r="G14" s="1">
        <v>2</v>
      </c>
      <c r="H14" s="11">
        <v>727700</v>
      </c>
      <c r="I14" s="11">
        <v>1455400</v>
      </c>
      <c r="J14" s="11">
        <v>1175400</v>
      </c>
      <c r="K14" s="11">
        <v>280000</v>
      </c>
      <c r="L14" s="1" t="s">
        <v>18</v>
      </c>
      <c r="M14" s="1" t="s">
        <v>32</v>
      </c>
    </row>
    <row r="15" spans="1:13">
      <c r="A15" s="2" t="s">
        <v>61</v>
      </c>
      <c r="B15" s="7">
        <v>46113</v>
      </c>
      <c r="C15" s="2" t="s">
        <v>62</v>
      </c>
      <c r="D15" s="2" t="s">
        <v>15</v>
      </c>
      <c r="E15" s="2" t="s">
        <v>16</v>
      </c>
      <c r="F15" s="2" t="s">
        <v>17</v>
      </c>
      <c r="G15" s="2">
        <v>6</v>
      </c>
      <c r="H15" s="12">
        <v>14400</v>
      </c>
      <c r="I15" s="12">
        <v>86400</v>
      </c>
      <c r="J15" s="12">
        <v>42600</v>
      </c>
      <c r="K15" s="12">
        <v>43800</v>
      </c>
      <c r="L15" s="2" t="s">
        <v>36</v>
      </c>
      <c r="M15" s="2" t="s">
        <v>19</v>
      </c>
    </row>
    <row r="16" spans="1:13">
      <c r="A16" s="1" t="s">
        <v>63</v>
      </c>
      <c r="B16" s="6">
        <v>46029</v>
      </c>
      <c r="C16" s="1" t="s">
        <v>21</v>
      </c>
      <c r="D16" s="1" t="s">
        <v>57</v>
      </c>
      <c r="E16" s="1" t="s">
        <v>53</v>
      </c>
      <c r="F16" s="1" t="s">
        <v>17</v>
      </c>
      <c r="G16" s="1">
        <v>4</v>
      </c>
      <c r="H16" s="11">
        <v>28800</v>
      </c>
      <c r="I16" s="11">
        <v>115200</v>
      </c>
      <c r="J16" s="11">
        <v>57200</v>
      </c>
      <c r="K16" s="11">
        <v>58000</v>
      </c>
      <c r="L16" s="1" t="s">
        <v>36</v>
      </c>
      <c r="M16" s="1" t="s">
        <v>19</v>
      </c>
    </row>
    <row r="17" spans="1:13">
      <c r="A17" s="2" t="s">
        <v>64</v>
      </c>
      <c r="B17" s="7">
        <v>46127</v>
      </c>
      <c r="C17" s="2" t="s">
        <v>14</v>
      </c>
      <c r="D17" s="2" t="s">
        <v>57</v>
      </c>
      <c r="E17" s="2" t="s">
        <v>35</v>
      </c>
      <c r="F17" s="2" t="s">
        <v>24</v>
      </c>
      <c r="G17" s="2">
        <v>2</v>
      </c>
      <c r="H17" s="12">
        <v>139800</v>
      </c>
      <c r="I17" s="12">
        <v>279600</v>
      </c>
      <c r="J17" s="12">
        <v>177200</v>
      </c>
      <c r="K17" s="12">
        <v>102400</v>
      </c>
      <c r="L17" s="2" t="s">
        <v>36</v>
      </c>
      <c r="M17" s="2" t="s">
        <v>19</v>
      </c>
    </row>
    <row r="18" spans="1:13">
      <c r="A18" s="1" t="s">
        <v>65</v>
      </c>
      <c r="B18" s="6">
        <v>46090</v>
      </c>
      <c r="C18" s="1" t="s">
        <v>38</v>
      </c>
      <c r="D18" s="1" t="s">
        <v>46</v>
      </c>
      <c r="E18" s="1" t="s">
        <v>66</v>
      </c>
      <c r="F18" s="1" t="s">
        <v>67</v>
      </c>
      <c r="G18" s="1">
        <v>1</v>
      </c>
      <c r="H18" s="11">
        <v>69900</v>
      </c>
      <c r="I18" s="11">
        <v>69900</v>
      </c>
      <c r="J18" s="11">
        <v>47800</v>
      </c>
      <c r="K18" s="11">
        <v>22100</v>
      </c>
      <c r="L18" s="1" t="s">
        <v>36</v>
      </c>
      <c r="M18" s="1" t="s">
        <v>19</v>
      </c>
    </row>
    <row r="19" spans="1:13">
      <c r="A19" s="2" t="s">
        <v>68</v>
      </c>
      <c r="B19" s="7">
        <v>46163</v>
      </c>
      <c r="C19" s="2" t="s">
        <v>69</v>
      </c>
      <c r="D19" s="2" t="s">
        <v>27</v>
      </c>
      <c r="E19" s="2" t="s">
        <v>70</v>
      </c>
      <c r="F19" s="2" t="s">
        <v>24</v>
      </c>
      <c r="G19" s="2">
        <v>1</v>
      </c>
      <c r="H19" s="12">
        <v>162900</v>
      </c>
      <c r="I19" s="12">
        <v>162900</v>
      </c>
      <c r="J19" s="12">
        <v>122400</v>
      </c>
      <c r="K19" s="12">
        <v>40500</v>
      </c>
      <c r="L19" s="2" t="s">
        <v>50</v>
      </c>
      <c r="M19" s="2" t="s">
        <v>19</v>
      </c>
    </row>
    <row r="20" spans="1:13">
      <c r="A20" s="1" t="s">
        <v>71</v>
      </c>
      <c r="B20" s="6">
        <v>46190</v>
      </c>
      <c r="C20" s="1" t="s">
        <v>21</v>
      </c>
      <c r="D20" s="1" t="s">
        <v>22</v>
      </c>
      <c r="E20" s="1" t="s">
        <v>16</v>
      </c>
      <c r="F20" s="1" t="s">
        <v>17</v>
      </c>
      <c r="G20" s="1">
        <v>4</v>
      </c>
      <c r="H20" s="11">
        <v>14500</v>
      </c>
      <c r="I20" s="11">
        <v>58000</v>
      </c>
      <c r="J20" s="11">
        <v>28800</v>
      </c>
      <c r="K20" s="11">
        <v>29200</v>
      </c>
      <c r="L20" s="1" t="s">
        <v>18</v>
      </c>
      <c r="M20" s="1" t="s">
        <v>25</v>
      </c>
    </row>
    <row r="21" spans="1:13">
      <c r="A21" s="2" t="s">
        <v>72</v>
      </c>
      <c r="B21" s="7">
        <v>46054</v>
      </c>
      <c r="C21" s="2" t="s">
        <v>62</v>
      </c>
      <c r="D21" s="2" t="s">
        <v>46</v>
      </c>
      <c r="E21" s="2" t="s">
        <v>73</v>
      </c>
      <c r="F21" s="2" t="s">
        <v>60</v>
      </c>
      <c r="G21" s="2">
        <v>3</v>
      </c>
      <c r="H21" s="12">
        <v>553200</v>
      </c>
      <c r="I21" s="12">
        <v>1659600</v>
      </c>
      <c r="J21" s="12">
        <v>1198500</v>
      </c>
      <c r="K21" s="12">
        <v>461100</v>
      </c>
      <c r="L21" s="2" t="s">
        <v>18</v>
      </c>
      <c r="M21" s="2" t="s">
        <v>19</v>
      </c>
    </row>
    <row r="22" spans="1:13">
      <c r="A22" s="1" t="s">
        <v>74</v>
      </c>
      <c r="B22" s="6">
        <v>46097</v>
      </c>
      <c r="C22" s="1" t="s">
        <v>45</v>
      </c>
      <c r="D22" s="1" t="s">
        <v>27</v>
      </c>
      <c r="E22" s="1" t="s">
        <v>66</v>
      </c>
      <c r="F22" s="1" t="s">
        <v>67</v>
      </c>
      <c r="G22" s="1">
        <v>3</v>
      </c>
      <c r="H22" s="11">
        <v>71300</v>
      </c>
      <c r="I22" s="11">
        <v>213900</v>
      </c>
      <c r="J22" s="11">
        <v>154500</v>
      </c>
      <c r="K22" s="11">
        <v>59400</v>
      </c>
      <c r="L22" s="1" t="s">
        <v>50</v>
      </c>
      <c r="M22" s="1" t="s">
        <v>75</v>
      </c>
    </row>
    <row r="23" spans="1:13">
      <c r="A23" s="2" t="s">
        <v>76</v>
      </c>
      <c r="B23" s="7">
        <v>46061</v>
      </c>
      <c r="C23" s="2" t="s">
        <v>69</v>
      </c>
      <c r="D23" s="2" t="s">
        <v>27</v>
      </c>
      <c r="E23" s="2" t="s">
        <v>23</v>
      </c>
      <c r="F23" s="2" t="s">
        <v>24</v>
      </c>
      <c r="G23" s="2">
        <v>1</v>
      </c>
      <c r="H23" s="12">
        <v>171600</v>
      </c>
      <c r="I23" s="12">
        <v>171600</v>
      </c>
      <c r="J23" s="12">
        <v>115200</v>
      </c>
      <c r="K23" s="12">
        <v>56400</v>
      </c>
      <c r="L23" s="2" t="s">
        <v>18</v>
      </c>
      <c r="M23" s="2" t="s">
        <v>19</v>
      </c>
    </row>
    <row r="24" spans="1:13">
      <c r="A24" s="1" t="s">
        <v>77</v>
      </c>
      <c r="B24" s="6">
        <v>46122</v>
      </c>
      <c r="C24" s="1" t="s">
        <v>14</v>
      </c>
      <c r="D24" s="1" t="s">
        <v>55</v>
      </c>
      <c r="E24" s="1" t="s">
        <v>42</v>
      </c>
      <c r="F24" s="1" t="s">
        <v>43</v>
      </c>
      <c r="G24" s="1">
        <v>4</v>
      </c>
      <c r="H24" s="11">
        <v>65700</v>
      </c>
      <c r="I24" s="11">
        <v>262800</v>
      </c>
      <c r="J24" s="11">
        <v>174400</v>
      </c>
      <c r="K24" s="11">
        <v>88400</v>
      </c>
      <c r="L24" s="1" t="s">
        <v>36</v>
      </c>
      <c r="M24" s="1" t="s">
        <v>19</v>
      </c>
    </row>
    <row r="25" spans="1:13">
      <c r="A25" s="2" t="s">
        <v>78</v>
      </c>
      <c r="B25" s="7">
        <v>46035</v>
      </c>
      <c r="C25" s="2" t="s">
        <v>69</v>
      </c>
      <c r="D25" s="2" t="s">
        <v>22</v>
      </c>
      <c r="E25" s="2" t="s">
        <v>47</v>
      </c>
      <c r="F25" s="2" t="s">
        <v>17</v>
      </c>
      <c r="G25" s="2">
        <v>1</v>
      </c>
      <c r="H25" s="12">
        <v>22500</v>
      </c>
      <c r="I25" s="12">
        <v>22500</v>
      </c>
      <c r="J25" s="12">
        <v>10700</v>
      </c>
      <c r="K25" s="12">
        <v>11800</v>
      </c>
      <c r="L25" s="2" t="s">
        <v>36</v>
      </c>
      <c r="M25" s="2" t="s">
        <v>19</v>
      </c>
    </row>
    <row r="26" spans="1:13">
      <c r="A26" s="1" t="s">
        <v>79</v>
      </c>
      <c r="B26" s="6">
        <v>46173</v>
      </c>
      <c r="C26" s="1" t="s">
        <v>52</v>
      </c>
      <c r="D26" s="1" t="s">
        <v>30</v>
      </c>
      <c r="E26" s="1" t="s">
        <v>23</v>
      </c>
      <c r="F26" s="1" t="s">
        <v>24</v>
      </c>
      <c r="G26" s="1">
        <v>1</v>
      </c>
      <c r="H26" s="11">
        <v>174600</v>
      </c>
      <c r="I26" s="11">
        <v>174600</v>
      </c>
      <c r="J26" s="11">
        <v>121600</v>
      </c>
      <c r="K26" s="11">
        <v>53000</v>
      </c>
      <c r="L26" s="1" t="s">
        <v>36</v>
      </c>
      <c r="M26" s="1" t="s">
        <v>19</v>
      </c>
    </row>
    <row r="27" spans="1:13">
      <c r="A27" s="2" t="s">
        <v>80</v>
      </c>
      <c r="B27" s="7">
        <v>46106</v>
      </c>
      <c r="C27" s="2" t="s">
        <v>49</v>
      </c>
      <c r="D27" s="2" t="s">
        <v>22</v>
      </c>
      <c r="E27" s="2" t="s">
        <v>47</v>
      </c>
      <c r="F27" s="2" t="s">
        <v>17</v>
      </c>
      <c r="G27" s="2">
        <v>5</v>
      </c>
      <c r="H27" s="12">
        <v>23400</v>
      </c>
      <c r="I27" s="12">
        <v>117000</v>
      </c>
      <c r="J27" s="12">
        <v>53000</v>
      </c>
      <c r="K27" s="12">
        <v>64000</v>
      </c>
      <c r="L27" s="2" t="s">
        <v>18</v>
      </c>
      <c r="M27" s="2" t="s">
        <v>25</v>
      </c>
    </row>
    <row r="28" spans="1:13">
      <c r="A28" s="1" t="s">
        <v>81</v>
      </c>
      <c r="B28" s="6">
        <v>46177</v>
      </c>
      <c r="C28" s="1" t="s">
        <v>14</v>
      </c>
      <c r="D28" s="1" t="s">
        <v>46</v>
      </c>
      <c r="E28" s="1" t="s">
        <v>82</v>
      </c>
      <c r="F28" s="1" t="s">
        <v>17</v>
      </c>
      <c r="G28" s="1">
        <v>3</v>
      </c>
      <c r="H28" s="11">
        <v>38800</v>
      </c>
      <c r="I28" s="11">
        <v>116400</v>
      </c>
      <c r="J28" s="11">
        <v>60600</v>
      </c>
      <c r="K28" s="11">
        <v>55800</v>
      </c>
      <c r="L28" s="1" t="s">
        <v>36</v>
      </c>
      <c r="M28" s="1" t="s">
        <v>19</v>
      </c>
    </row>
    <row r="29" spans="1:13">
      <c r="A29" s="2" t="s">
        <v>83</v>
      </c>
      <c r="B29" s="7">
        <v>46098</v>
      </c>
      <c r="C29" s="2" t="s">
        <v>45</v>
      </c>
      <c r="D29" s="2" t="s">
        <v>39</v>
      </c>
      <c r="E29" s="2" t="s">
        <v>66</v>
      </c>
      <c r="F29" s="2" t="s">
        <v>67</v>
      </c>
      <c r="G29" s="2">
        <v>3</v>
      </c>
      <c r="H29" s="12">
        <v>72100</v>
      </c>
      <c r="I29" s="12">
        <v>216300</v>
      </c>
      <c r="J29" s="12">
        <v>150900</v>
      </c>
      <c r="K29" s="12">
        <v>65400</v>
      </c>
      <c r="L29" s="2" t="s">
        <v>31</v>
      </c>
      <c r="M29" s="2" t="s">
        <v>75</v>
      </c>
    </row>
    <row r="30" spans="1:13">
      <c r="A30" s="1" t="s">
        <v>84</v>
      </c>
      <c r="B30" s="6">
        <v>46193</v>
      </c>
      <c r="C30" s="1" t="s">
        <v>52</v>
      </c>
      <c r="D30" s="1" t="s">
        <v>57</v>
      </c>
      <c r="E30" s="1" t="s">
        <v>73</v>
      </c>
      <c r="F30" s="1" t="s">
        <v>60</v>
      </c>
      <c r="G30" s="1">
        <v>2</v>
      </c>
      <c r="H30" s="11">
        <v>515900</v>
      </c>
      <c r="I30" s="11">
        <v>1031800</v>
      </c>
      <c r="J30" s="11">
        <v>812600</v>
      </c>
      <c r="K30" s="11">
        <v>219200</v>
      </c>
      <c r="L30" s="1" t="s">
        <v>18</v>
      </c>
      <c r="M30" s="1" t="s">
        <v>25</v>
      </c>
    </row>
    <row r="31" spans="1:13">
      <c r="A31" s="2" t="s">
        <v>85</v>
      </c>
      <c r="B31" s="7">
        <v>46121</v>
      </c>
      <c r="C31" s="2" t="s">
        <v>14</v>
      </c>
      <c r="D31" s="2" t="s">
        <v>34</v>
      </c>
      <c r="E31" s="2" t="s">
        <v>86</v>
      </c>
      <c r="F31" s="2" t="s">
        <v>67</v>
      </c>
      <c r="G31" s="2">
        <v>1</v>
      </c>
      <c r="H31" s="12">
        <v>97300</v>
      </c>
      <c r="I31" s="12">
        <v>97300</v>
      </c>
      <c r="J31" s="12">
        <v>71800</v>
      </c>
      <c r="K31" s="12">
        <v>25500</v>
      </c>
      <c r="L31" s="2" t="s">
        <v>18</v>
      </c>
      <c r="M31" s="2" t="s">
        <v>75</v>
      </c>
    </row>
    <row r="32" spans="1:13">
      <c r="A32" s="1" t="s">
        <v>87</v>
      </c>
      <c r="B32" s="6">
        <v>46183</v>
      </c>
      <c r="C32" s="1" t="s">
        <v>21</v>
      </c>
      <c r="D32" s="1" t="s">
        <v>30</v>
      </c>
      <c r="E32" s="1" t="s">
        <v>88</v>
      </c>
      <c r="F32" s="1" t="s">
        <v>60</v>
      </c>
      <c r="G32" s="1">
        <v>3</v>
      </c>
      <c r="H32" s="11">
        <v>222800</v>
      </c>
      <c r="I32" s="11">
        <v>668400</v>
      </c>
      <c r="J32" s="11">
        <v>432600</v>
      </c>
      <c r="K32" s="11">
        <v>235800</v>
      </c>
      <c r="L32" s="1" t="s">
        <v>18</v>
      </c>
      <c r="M32" s="1" t="s">
        <v>75</v>
      </c>
    </row>
    <row r="33" spans="1:13">
      <c r="A33" s="2" t="s">
        <v>89</v>
      </c>
      <c r="B33" s="7">
        <v>46133</v>
      </c>
      <c r="C33" s="2" t="s">
        <v>62</v>
      </c>
      <c r="D33" s="2" t="s">
        <v>27</v>
      </c>
      <c r="E33" s="2" t="s">
        <v>66</v>
      </c>
      <c r="F33" s="2" t="s">
        <v>67</v>
      </c>
      <c r="G33" s="2">
        <v>3</v>
      </c>
      <c r="H33" s="12">
        <v>71700</v>
      </c>
      <c r="I33" s="12">
        <v>215100</v>
      </c>
      <c r="J33" s="12">
        <v>151800</v>
      </c>
      <c r="K33" s="12">
        <v>63300</v>
      </c>
      <c r="L33" s="2" t="s">
        <v>18</v>
      </c>
      <c r="M33" s="2" t="s">
        <v>19</v>
      </c>
    </row>
    <row r="34" spans="1:13">
      <c r="A34" s="1" t="s">
        <v>90</v>
      </c>
      <c r="B34" s="6">
        <v>46116</v>
      </c>
      <c r="C34" s="1" t="s">
        <v>52</v>
      </c>
      <c r="D34" s="1" t="s">
        <v>30</v>
      </c>
      <c r="E34" s="1" t="s">
        <v>70</v>
      </c>
      <c r="F34" s="1" t="s">
        <v>24</v>
      </c>
      <c r="G34" s="1">
        <v>6</v>
      </c>
      <c r="H34" s="11">
        <v>171000</v>
      </c>
      <c r="I34" s="11">
        <v>1026000</v>
      </c>
      <c r="J34" s="11">
        <v>695400</v>
      </c>
      <c r="K34" s="11">
        <v>330600</v>
      </c>
      <c r="L34" s="1" t="s">
        <v>36</v>
      </c>
      <c r="M34" s="1" t="s">
        <v>19</v>
      </c>
    </row>
    <row r="35" spans="1:13">
      <c r="A35" s="2" t="s">
        <v>91</v>
      </c>
      <c r="B35" s="7">
        <v>46174</v>
      </c>
      <c r="C35" s="2" t="s">
        <v>21</v>
      </c>
      <c r="D35" s="2" t="s">
        <v>22</v>
      </c>
      <c r="E35" s="2" t="s">
        <v>53</v>
      </c>
      <c r="F35" s="2" t="s">
        <v>17</v>
      </c>
      <c r="G35" s="2">
        <v>2</v>
      </c>
      <c r="H35" s="12">
        <v>26700</v>
      </c>
      <c r="I35" s="12">
        <v>53400</v>
      </c>
      <c r="J35" s="12">
        <v>29400</v>
      </c>
      <c r="K35" s="12">
        <v>24000</v>
      </c>
      <c r="L35" s="2" t="s">
        <v>36</v>
      </c>
      <c r="M35" s="2" t="s">
        <v>19</v>
      </c>
    </row>
    <row r="36" spans="1:13">
      <c r="A36" s="1" t="s">
        <v>92</v>
      </c>
      <c r="B36" s="6">
        <v>46178</v>
      </c>
      <c r="C36" s="1" t="s">
        <v>14</v>
      </c>
      <c r="D36" s="1" t="s">
        <v>34</v>
      </c>
      <c r="E36" s="1" t="s">
        <v>47</v>
      </c>
      <c r="F36" s="1" t="s">
        <v>17</v>
      </c>
      <c r="G36" s="1">
        <v>1</v>
      </c>
      <c r="H36" s="11">
        <v>22600</v>
      </c>
      <c r="I36" s="11">
        <v>22600</v>
      </c>
      <c r="J36" s="11">
        <v>10800</v>
      </c>
      <c r="K36" s="11">
        <v>11800</v>
      </c>
      <c r="L36" s="1" t="s">
        <v>18</v>
      </c>
      <c r="M36" s="1" t="s">
        <v>19</v>
      </c>
    </row>
    <row r="37" spans="1:13">
      <c r="A37" s="2" t="s">
        <v>93</v>
      </c>
      <c r="B37" s="7">
        <v>46135</v>
      </c>
      <c r="C37" s="2" t="s">
        <v>38</v>
      </c>
      <c r="D37" s="2" t="s">
        <v>55</v>
      </c>
      <c r="E37" s="2" t="s">
        <v>86</v>
      </c>
      <c r="F37" s="2" t="s">
        <v>67</v>
      </c>
      <c r="G37" s="2">
        <v>1</v>
      </c>
      <c r="H37" s="12">
        <v>98200</v>
      </c>
      <c r="I37" s="12">
        <v>98200</v>
      </c>
      <c r="J37" s="12">
        <v>67900</v>
      </c>
      <c r="K37" s="12">
        <v>30300</v>
      </c>
      <c r="L37" s="2" t="s">
        <v>50</v>
      </c>
      <c r="M37" s="2" t="s">
        <v>19</v>
      </c>
    </row>
    <row r="38" spans="1:13">
      <c r="A38" s="1" t="s">
        <v>94</v>
      </c>
      <c r="B38" s="6">
        <v>46156</v>
      </c>
      <c r="C38" s="1" t="s">
        <v>21</v>
      </c>
      <c r="D38" s="1" t="s">
        <v>46</v>
      </c>
      <c r="E38" s="1" t="s">
        <v>47</v>
      </c>
      <c r="F38" s="1" t="s">
        <v>17</v>
      </c>
      <c r="G38" s="1">
        <v>2</v>
      </c>
      <c r="H38" s="11">
        <v>21900</v>
      </c>
      <c r="I38" s="11">
        <v>43800</v>
      </c>
      <c r="J38" s="11">
        <v>21200</v>
      </c>
      <c r="K38" s="11">
        <v>22600</v>
      </c>
      <c r="L38" s="1" t="s">
        <v>50</v>
      </c>
      <c r="M38" s="1" t="s">
        <v>19</v>
      </c>
    </row>
    <row r="39" spans="1:13">
      <c r="A39" s="2" t="s">
        <v>95</v>
      </c>
      <c r="B39" s="7">
        <v>46064</v>
      </c>
      <c r="C39" s="2" t="s">
        <v>21</v>
      </c>
      <c r="D39" s="2" t="s">
        <v>39</v>
      </c>
      <c r="E39" s="2" t="s">
        <v>73</v>
      </c>
      <c r="F39" s="2" t="s">
        <v>60</v>
      </c>
      <c r="G39" s="2">
        <v>3</v>
      </c>
      <c r="H39" s="12">
        <v>533100</v>
      </c>
      <c r="I39" s="12">
        <v>1599300</v>
      </c>
      <c r="J39" s="12">
        <v>1126200</v>
      </c>
      <c r="K39" s="12">
        <v>473100</v>
      </c>
      <c r="L39" s="2" t="s">
        <v>31</v>
      </c>
      <c r="M39" s="2" t="s">
        <v>19</v>
      </c>
    </row>
    <row r="40" spans="1:13">
      <c r="A40" s="1" t="s">
        <v>96</v>
      </c>
      <c r="B40" s="6">
        <v>46170</v>
      </c>
      <c r="C40" s="1" t="s">
        <v>49</v>
      </c>
      <c r="D40" s="1" t="s">
        <v>15</v>
      </c>
      <c r="E40" s="1" t="s">
        <v>88</v>
      </c>
      <c r="F40" s="1" t="s">
        <v>60</v>
      </c>
      <c r="G40" s="1">
        <v>3</v>
      </c>
      <c r="H40" s="11">
        <v>215300</v>
      </c>
      <c r="I40" s="11">
        <v>645900</v>
      </c>
      <c r="J40" s="11">
        <v>432900</v>
      </c>
      <c r="K40" s="11">
        <v>213000</v>
      </c>
      <c r="L40" s="1" t="s">
        <v>36</v>
      </c>
      <c r="M40" s="1" t="s">
        <v>19</v>
      </c>
    </row>
    <row r="41" spans="1:13">
      <c r="A41" s="2" t="s">
        <v>97</v>
      </c>
      <c r="B41" s="7">
        <v>46170</v>
      </c>
      <c r="C41" s="2" t="s">
        <v>38</v>
      </c>
      <c r="D41" s="2" t="s">
        <v>22</v>
      </c>
      <c r="E41" s="2" t="s">
        <v>88</v>
      </c>
      <c r="F41" s="2" t="s">
        <v>60</v>
      </c>
      <c r="G41" s="2">
        <v>6</v>
      </c>
      <c r="H41" s="12">
        <v>223500</v>
      </c>
      <c r="I41" s="12">
        <v>1341000</v>
      </c>
      <c r="J41" s="12">
        <v>906000</v>
      </c>
      <c r="K41" s="12">
        <v>435000</v>
      </c>
      <c r="L41" s="2" t="s">
        <v>18</v>
      </c>
      <c r="M41" s="2" t="s">
        <v>25</v>
      </c>
    </row>
    <row r="42" spans="1:13">
      <c r="A42" s="1" t="s">
        <v>98</v>
      </c>
      <c r="B42" s="6">
        <v>46060</v>
      </c>
      <c r="C42" s="1" t="s">
        <v>21</v>
      </c>
      <c r="D42" s="1" t="s">
        <v>46</v>
      </c>
      <c r="E42" s="1" t="s">
        <v>35</v>
      </c>
      <c r="F42" s="1" t="s">
        <v>24</v>
      </c>
      <c r="G42" s="1">
        <v>2</v>
      </c>
      <c r="H42" s="11">
        <v>129400</v>
      </c>
      <c r="I42" s="11">
        <v>258800</v>
      </c>
      <c r="J42" s="11">
        <v>181000</v>
      </c>
      <c r="K42" s="11">
        <v>77800</v>
      </c>
      <c r="L42" s="1" t="s">
        <v>36</v>
      </c>
      <c r="M42" s="1" t="s">
        <v>19</v>
      </c>
    </row>
    <row r="43" spans="1:13">
      <c r="A43" s="2" t="s">
        <v>99</v>
      </c>
      <c r="B43" s="7">
        <v>46102</v>
      </c>
      <c r="C43" s="2" t="s">
        <v>69</v>
      </c>
      <c r="D43" s="2" t="s">
        <v>15</v>
      </c>
      <c r="E43" s="2" t="s">
        <v>100</v>
      </c>
      <c r="F43" s="2" t="s">
        <v>60</v>
      </c>
      <c r="G43" s="2">
        <v>1</v>
      </c>
      <c r="H43" s="12">
        <v>271300</v>
      </c>
      <c r="I43" s="12">
        <v>271300</v>
      </c>
      <c r="J43" s="12">
        <v>193000</v>
      </c>
      <c r="K43" s="12">
        <v>78300</v>
      </c>
      <c r="L43" s="2" t="s">
        <v>31</v>
      </c>
      <c r="M43" s="2" t="s">
        <v>19</v>
      </c>
    </row>
    <row r="44" spans="1:13">
      <c r="A44" s="1" t="s">
        <v>101</v>
      </c>
      <c r="B44" s="6">
        <v>46089</v>
      </c>
      <c r="C44" s="1" t="s">
        <v>21</v>
      </c>
      <c r="D44" s="1" t="s">
        <v>41</v>
      </c>
      <c r="E44" s="1" t="s">
        <v>59</v>
      </c>
      <c r="F44" s="1" t="s">
        <v>60</v>
      </c>
      <c r="G44" s="1">
        <v>10</v>
      </c>
      <c r="H44" s="11">
        <v>769900</v>
      </c>
      <c r="I44" s="11">
        <v>7699000</v>
      </c>
      <c r="J44" s="11">
        <v>5813000</v>
      </c>
      <c r="K44" s="11">
        <v>1886000</v>
      </c>
      <c r="L44" s="1" t="s">
        <v>50</v>
      </c>
      <c r="M44" s="1" t="s">
        <v>19</v>
      </c>
    </row>
    <row r="45" spans="1:13">
      <c r="A45" s="2" t="s">
        <v>102</v>
      </c>
      <c r="B45" s="7">
        <v>46136</v>
      </c>
      <c r="C45" s="2" t="s">
        <v>52</v>
      </c>
      <c r="D45" s="2" t="s">
        <v>39</v>
      </c>
      <c r="E45" s="2" t="s">
        <v>73</v>
      </c>
      <c r="F45" s="2" t="s">
        <v>60</v>
      </c>
      <c r="G45" s="2">
        <v>3</v>
      </c>
      <c r="H45" s="12">
        <v>505300</v>
      </c>
      <c r="I45" s="12">
        <v>1515900</v>
      </c>
      <c r="J45" s="12">
        <v>1118700</v>
      </c>
      <c r="K45" s="12">
        <v>397200</v>
      </c>
      <c r="L45" s="2" t="s">
        <v>31</v>
      </c>
      <c r="M45" s="2" t="s">
        <v>19</v>
      </c>
    </row>
    <row r="46" spans="1:13">
      <c r="A46" s="1" t="s">
        <v>103</v>
      </c>
      <c r="B46" s="6">
        <v>46162</v>
      </c>
      <c r="C46" s="1" t="s">
        <v>49</v>
      </c>
      <c r="D46" s="1" t="s">
        <v>27</v>
      </c>
      <c r="E46" s="1" t="s">
        <v>100</v>
      </c>
      <c r="F46" s="1" t="s">
        <v>60</v>
      </c>
      <c r="G46" s="1">
        <v>4</v>
      </c>
      <c r="H46" s="11">
        <v>298900</v>
      </c>
      <c r="I46" s="11">
        <v>1195600</v>
      </c>
      <c r="J46" s="11">
        <v>834800</v>
      </c>
      <c r="K46" s="11">
        <v>360800</v>
      </c>
      <c r="L46" s="1" t="s">
        <v>18</v>
      </c>
      <c r="M46" s="1" t="s">
        <v>75</v>
      </c>
    </row>
    <row r="47" spans="1:13">
      <c r="A47" s="2" t="s">
        <v>104</v>
      </c>
      <c r="B47" s="7">
        <v>46200</v>
      </c>
      <c r="C47" s="2" t="s">
        <v>69</v>
      </c>
      <c r="D47" s="2" t="s">
        <v>27</v>
      </c>
      <c r="E47" s="2" t="s">
        <v>66</v>
      </c>
      <c r="F47" s="2" t="s">
        <v>67</v>
      </c>
      <c r="G47" s="2">
        <v>1</v>
      </c>
      <c r="H47" s="12">
        <v>68400</v>
      </c>
      <c r="I47" s="12">
        <v>68400</v>
      </c>
      <c r="J47" s="12">
        <v>50600</v>
      </c>
      <c r="K47" s="12">
        <v>17800</v>
      </c>
      <c r="L47" s="2" t="s">
        <v>18</v>
      </c>
      <c r="M47" s="2" t="s">
        <v>75</v>
      </c>
    </row>
    <row r="48" spans="1:13">
      <c r="A48" s="1" t="s">
        <v>105</v>
      </c>
      <c r="B48" s="6">
        <v>46098</v>
      </c>
      <c r="C48" s="1" t="s">
        <v>52</v>
      </c>
      <c r="D48" s="1" t="s">
        <v>34</v>
      </c>
      <c r="E48" s="1" t="s">
        <v>23</v>
      </c>
      <c r="F48" s="1" t="s">
        <v>24</v>
      </c>
      <c r="G48" s="1">
        <v>2</v>
      </c>
      <c r="H48" s="11">
        <v>173600</v>
      </c>
      <c r="I48" s="11">
        <v>347200</v>
      </c>
      <c r="J48" s="11">
        <v>233200</v>
      </c>
      <c r="K48" s="11">
        <v>114000</v>
      </c>
      <c r="L48" s="1" t="s">
        <v>50</v>
      </c>
      <c r="M48" s="1" t="s">
        <v>19</v>
      </c>
    </row>
    <row r="49" spans="1:13">
      <c r="A49" s="2" t="s">
        <v>106</v>
      </c>
      <c r="B49" s="7">
        <v>46172</v>
      </c>
      <c r="C49" s="2" t="s">
        <v>69</v>
      </c>
      <c r="D49" s="2" t="s">
        <v>55</v>
      </c>
      <c r="E49" s="2" t="s">
        <v>47</v>
      </c>
      <c r="F49" s="2" t="s">
        <v>17</v>
      </c>
      <c r="G49" s="2">
        <v>2</v>
      </c>
      <c r="H49" s="12">
        <v>21000</v>
      </c>
      <c r="I49" s="12">
        <v>42000</v>
      </c>
      <c r="J49" s="12">
        <v>22200</v>
      </c>
      <c r="K49" s="12">
        <v>19800</v>
      </c>
      <c r="L49" s="2" t="s">
        <v>18</v>
      </c>
      <c r="M49" s="2" t="s">
        <v>19</v>
      </c>
    </row>
    <row r="50" spans="1:13">
      <c r="A50" s="1" t="s">
        <v>107</v>
      </c>
      <c r="B50" s="6">
        <v>46195</v>
      </c>
      <c r="C50" s="1" t="s">
        <v>69</v>
      </c>
      <c r="D50" s="1" t="s">
        <v>30</v>
      </c>
      <c r="E50" s="1" t="s">
        <v>47</v>
      </c>
      <c r="F50" s="1" t="s">
        <v>17</v>
      </c>
      <c r="G50" s="1">
        <v>1</v>
      </c>
      <c r="H50" s="11">
        <v>22200</v>
      </c>
      <c r="I50" s="11">
        <v>22200</v>
      </c>
      <c r="J50" s="11">
        <v>11400</v>
      </c>
      <c r="K50" s="11">
        <v>10800</v>
      </c>
      <c r="L50" s="1" t="s">
        <v>50</v>
      </c>
      <c r="M50" s="1" t="s">
        <v>19</v>
      </c>
    </row>
    <row r="51" spans="1:13">
      <c r="A51" s="2" t="s">
        <v>108</v>
      </c>
      <c r="B51" s="7">
        <v>46092</v>
      </c>
      <c r="C51" s="2" t="s">
        <v>45</v>
      </c>
      <c r="D51" s="2" t="s">
        <v>27</v>
      </c>
      <c r="E51" s="2" t="s">
        <v>16</v>
      </c>
      <c r="F51" s="2" t="s">
        <v>17</v>
      </c>
      <c r="G51" s="2">
        <v>2</v>
      </c>
      <c r="H51" s="12">
        <v>13700</v>
      </c>
      <c r="I51" s="12">
        <v>27400</v>
      </c>
      <c r="J51" s="12">
        <v>13800</v>
      </c>
      <c r="K51" s="12">
        <v>13600</v>
      </c>
      <c r="L51" s="2" t="s">
        <v>50</v>
      </c>
      <c r="M51" s="2" t="s">
        <v>32</v>
      </c>
    </row>
    <row r="52" spans="1:13">
      <c r="A52" s="1" t="s">
        <v>109</v>
      </c>
      <c r="B52" s="6">
        <v>46103</v>
      </c>
      <c r="C52" s="1" t="s">
        <v>45</v>
      </c>
      <c r="D52" s="1" t="s">
        <v>30</v>
      </c>
      <c r="E52" s="1" t="s">
        <v>28</v>
      </c>
      <c r="F52" s="1" t="s">
        <v>24</v>
      </c>
      <c r="G52" s="1">
        <v>1</v>
      </c>
      <c r="H52" s="11">
        <v>72300</v>
      </c>
      <c r="I52" s="11">
        <v>72300</v>
      </c>
      <c r="J52" s="11">
        <v>44300</v>
      </c>
      <c r="K52" s="11">
        <v>28000</v>
      </c>
      <c r="L52" s="1" t="s">
        <v>36</v>
      </c>
      <c r="M52" s="1" t="s">
        <v>19</v>
      </c>
    </row>
    <row r="53" spans="1:13">
      <c r="A53" s="2" t="s">
        <v>110</v>
      </c>
      <c r="B53" s="7">
        <v>46063</v>
      </c>
      <c r="C53" s="2" t="s">
        <v>14</v>
      </c>
      <c r="D53" s="2" t="s">
        <v>27</v>
      </c>
      <c r="E53" s="2" t="s">
        <v>88</v>
      </c>
      <c r="F53" s="2" t="s">
        <v>60</v>
      </c>
      <c r="G53" s="2">
        <v>3</v>
      </c>
      <c r="H53" s="12">
        <v>214800</v>
      </c>
      <c r="I53" s="12">
        <v>644400</v>
      </c>
      <c r="J53" s="12">
        <v>421800</v>
      </c>
      <c r="K53" s="12">
        <v>222600</v>
      </c>
      <c r="L53" s="2" t="s">
        <v>18</v>
      </c>
      <c r="M53" s="2" t="s">
        <v>25</v>
      </c>
    </row>
    <row r="54" spans="1:13">
      <c r="A54" s="1" t="s">
        <v>111</v>
      </c>
      <c r="B54" s="6">
        <v>46039</v>
      </c>
      <c r="C54" s="1" t="s">
        <v>21</v>
      </c>
      <c r="D54" s="1" t="s">
        <v>34</v>
      </c>
      <c r="E54" s="1" t="s">
        <v>47</v>
      </c>
      <c r="F54" s="1" t="s">
        <v>17</v>
      </c>
      <c r="G54" s="1">
        <v>2</v>
      </c>
      <c r="H54" s="11">
        <v>23500</v>
      </c>
      <c r="I54" s="11">
        <v>47000</v>
      </c>
      <c r="J54" s="11">
        <v>21600</v>
      </c>
      <c r="K54" s="11">
        <v>25400</v>
      </c>
      <c r="L54" s="1" t="s">
        <v>50</v>
      </c>
      <c r="M54" s="1" t="s">
        <v>19</v>
      </c>
    </row>
    <row r="55" spans="1:13">
      <c r="A55" s="2" t="s">
        <v>112</v>
      </c>
      <c r="B55" s="7">
        <v>46125</v>
      </c>
      <c r="C55" s="2" t="s">
        <v>21</v>
      </c>
      <c r="D55" s="2" t="s">
        <v>46</v>
      </c>
      <c r="E55" s="2" t="s">
        <v>88</v>
      </c>
      <c r="F55" s="2" t="s">
        <v>60</v>
      </c>
      <c r="G55" s="2">
        <v>5</v>
      </c>
      <c r="H55" s="12">
        <v>216500</v>
      </c>
      <c r="I55" s="12">
        <v>1082500</v>
      </c>
      <c r="J55" s="12">
        <v>712500</v>
      </c>
      <c r="K55" s="12">
        <v>370000</v>
      </c>
      <c r="L55" s="2" t="s">
        <v>18</v>
      </c>
      <c r="M55" s="2" t="s">
        <v>19</v>
      </c>
    </row>
    <row r="56" spans="1:13">
      <c r="A56" s="1" t="s">
        <v>113</v>
      </c>
      <c r="B56" s="6">
        <v>46190</v>
      </c>
      <c r="C56" s="1" t="s">
        <v>38</v>
      </c>
      <c r="D56" s="1" t="s">
        <v>46</v>
      </c>
      <c r="E56" s="1" t="s">
        <v>23</v>
      </c>
      <c r="F56" s="1" t="s">
        <v>24</v>
      </c>
      <c r="G56" s="1">
        <v>2</v>
      </c>
      <c r="H56" s="11">
        <v>185300</v>
      </c>
      <c r="I56" s="11">
        <v>370600</v>
      </c>
      <c r="J56" s="11">
        <v>237800</v>
      </c>
      <c r="K56" s="11">
        <v>132800</v>
      </c>
      <c r="L56" s="1" t="s">
        <v>50</v>
      </c>
      <c r="M56" s="1" t="s">
        <v>19</v>
      </c>
    </row>
    <row r="57" spans="1:13">
      <c r="A57" s="2" t="s">
        <v>114</v>
      </c>
      <c r="B57" s="7">
        <v>46029</v>
      </c>
      <c r="C57" s="2" t="s">
        <v>69</v>
      </c>
      <c r="D57" s="2" t="s">
        <v>27</v>
      </c>
      <c r="E57" s="2" t="s">
        <v>35</v>
      </c>
      <c r="F57" s="2" t="s">
        <v>24</v>
      </c>
      <c r="G57" s="2">
        <v>1</v>
      </c>
      <c r="H57" s="12">
        <v>138900</v>
      </c>
      <c r="I57" s="12">
        <v>138900</v>
      </c>
      <c r="J57" s="12">
        <v>96100</v>
      </c>
      <c r="K57" s="12">
        <v>42800</v>
      </c>
      <c r="L57" s="2" t="s">
        <v>31</v>
      </c>
      <c r="M57" s="2" t="s">
        <v>75</v>
      </c>
    </row>
    <row r="58" spans="1:13">
      <c r="A58" s="1" t="s">
        <v>115</v>
      </c>
      <c r="B58" s="6">
        <v>46155</v>
      </c>
      <c r="C58" s="1" t="s">
        <v>14</v>
      </c>
      <c r="D58" s="1" t="s">
        <v>34</v>
      </c>
      <c r="E58" s="1" t="s">
        <v>116</v>
      </c>
      <c r="F58" s="1" t="s">
        <v>24</v>
      </c>
      <c r="G58" s="1">
        <v>5</v>
      </c>
      <c r="H58" s="11">
        <v>90500</v>
      </c>
      <c r="I58" s="11">
        <v>452500</v>
      </c>
      <c r="J58" s="11">
        <v>314000</v>
      </c>
      <c r="K58" s="11">
        <v>138500</v>
      </c>
      <c r="L58" s="1" t="s">
        <v>50</v>
      </c>
      <c r="M58" s="1" t="s">
        <v>19</v>
      </c>
    </row>
    <row r="59" spans="1:13">
      <c r="A59" s="2" t="s">
        <v>117</v>
      </c>
      <c r="B59" s="7">
        <v>46026</v>
      </c>
      <c r="C59" s="2" t="s">
        <v>49</v>
      </c>
      <c r="D59" s="2" t="s">
        <v>30</v>
      </c>
      <c r="E59" s="2" t="s">
        <v>82</v>
      </c>
      <c r="F59" s="2" t="s">
        <v>17</v>
      </c>
      <c r="G59" s="2">
        <v>8</v>
      </c>
      <c r="H59" s="12">
        <v>39000</v>
      </c>
      <c r="I59" s="12">
        <v>312000</v>
      </c>
      <c r="J59" s="12">
        <v>169600</v>
      </c>
      <c r="K59" s="12">
        <v>142400</v>
      </c>
      <c r="L59" s="2" t="s">
        <v>31</v>
      </c>
      <c r="M59" s="2" t="s">
        <v>19</v>
      </c>
    </row>
    <row r="60" spans="1:13">
      <c r="A60" s="1" t="s">
        <v>118</v>
      </c>
      <c r="B60" s="6">
        <v>46116</v>
      </c>
      <c r="C60" s="1" t="s">
        <v>21</v>
      </c>
      <c r="D60" s="1" t="s">
        <v>34</v>
      </c>
      <c r="E60" s="1" t="s">
        <v>28</v>
      </c>
      <c r="F60" s="1" t="s">
        <v>24</v>
      </c>
      <c r="G60" s="1">
        <v>10</v>
      </c>
      <c r="H60" s="11">
        <v>72100</v>
      </c>
      <c r="I60" s="11">
        <v>721000</v>
      </c>
      <c r="J60" s="11">
        <v>454000</v>
      </c>
      <c r="K60" s="11">
        <v>267000</v>
      </c>
      <c r="L60" s="1" t="s">
        <v>50</v>
      </c>
      <c r="M60" s="1" t="s">
        <v>75</v>
      </c>
    </row>
    <row r="61" spans="1:13">
      <c r="A61" s="2" t="s">
        <v>119</v>
      </c>
      <c r="B61" s="7">
        <v>46069</v>
      </c>
      <c r="C61" s="2" t="s">
        <v>21</v>
      </c>
      <c r="D61" s="2" t="s">
        <v>46</v>
      </c>
      <c r="E61" s="2" t="s">
        <v>47</v>
      </c>
      <c r="F61" s="2" t="s">
        <v>17</v>
      </c>
      <c r="G61" s="2">
        <v>6</v>
      </c>
      <c r="H61" s="12">
        <v>23300</v>
      </c>
      <c r="I61" s="12">
        <v>139800</v>
      </c>
      <c r="J61" s="12">
        <v>67800</v>
      </c>
      <c r="K61" s="12">
        <v>72000</v>
      </c>
      <c r="L61" s="2" t="s">
        <v>36</v>
      </c>
      <c r="M61" s="2" t="s">
        <v>19</v>
      </c>
    </row>
    <row r="62" spans="1:13">
      <c r="A62" s="1" t="s">
        <v>120</v>
      </c>
      <c r="B62" s="6">
        <v>46052</v>
      </c>
      <c r="C62" s="1" t="s">
        <v>69</v>
      </c>
      <c r="D62" s="1" t="s">
        <v>41</v>
      </c>
      <c r="E62" s="1" t="s">
        <v>66</v>
      </c>
      <c r="F62" s="1" t="s">
        <v>67</v>
      </c>
      <c r="G62" s="1">
        <v>5</v>
      </c>
      <c r="H62" s="11">
        <v>74700</v>
      </c>
      <c r="I62" s="11">
        <v>373500</v>
      </c>
      <c r="J62" s="11">
        <v>250500</v>
      </c>
      <c r="K62" s="11">
        <v>123000</v>
      </c>
      <c r="L62" s="1" t="s">
        <v>50</v>
      </c>
      <c r="M62" s="1" t="s">
        <v>19</v>
      </c>
    </row>
    <row r="63" spans="1:13">
      <c r="A63" s="2" t="s">
        <v>121</v>
      </c>
      <c r="B63" s="7">
        <v>46145</v>
      </c>
      <c r="C63" s="2" t="s">
        <v>69</v>
      </c>
      <c r="D63" s="2" t="s">
        <v>46</v>
      </c>
      <c r="E63" s="2" t="s">
        <v>88</v>
      </c>
      <c r="F63" s="2" t="s">
        <v>60</v>
      </c>
      <c r="G63" s="2">
        <v>5</v>
      </c>
      <c r="H63" s="12">
        <v>201000</v>
      </c>
      <c r="I63" s="12">
        <v>1005000</v>
      </c>
      <c r="J63" s="12">
        <v>736000</v>
      </c>
      <c r="K63" s="12">
        <v>269000</v>
      </c>
      <c r="L63" s="2" t="s">
        <v>18</v>
      </c>
      <c r="M63" s="2" t="s">
        <v>19</v>
      </c>
    </row>
    <row r="64" spans="1:13">
      <c r="A64" s="1" t="s">
        <v>122</v>
      </c>
      <c r="B64" s="6">
        <v>46086</v>
      </c>
      <c r="C64" s="1" t="s">
        <v>49</v>
      </c>
      <c r="D64" s="1" t="s">
        <v>39</v>
      </c>
      <c r="E64" s="1" t="s">
        <v>70</v>
      </c>
      <c r="F64" s="1" t="s">
        <v>24</v>
      </c>
      <c r="G64" s="1">
        <v>5</v>
      </c>
      <c r="H64" s="11">
        <v>164100</v>
      </c>
      <c r="I64" s="11">
        <v>820500</v>
      </c>
      <c r="J64" s="11">
        <v>562500</v>
      </c>
      <c r="K64" s="11">
        <v>258000</v>
      </c>
      <c r="L64" s="1" t="s">
        <v>18</v>
      </c>
      <c r="M64" s="1" t="s">
        <v>19</v>
      </c>
    </row>
    <row r="65" spans="1:13">
      <c r="A65" s="2" t="s">
        <v>123</v>
      </c>
      <c r="B65" s="7">
        <v>46061</v>
      </c>
      <c r="C65" s="2" t="s">
        <v>45</v>
      </c>
      <c r="D65" s="2" t="s">
        <v>46</v>
      </c>
      <c r="E65" s="2" t="s">
        <v>82</v>
      </c>
      <c r="F65" s="2" t="s">
        <v>17</v>
      </c>
      <c r="G65" s="2">
        <v>6</v>
      </c>
      <c r="H65" s="12">
        <v>37600</v>
      </c>
      <c r="I65" s="12">
        <v>225600</v>
      </c>
      <c r="J65" s="12">
        <v>123600</v>
      </c>
      <c r="K65" s="12">
        <v>102000</v>
      </c>
      <c r="L65" s="2" t="s">
        <v>36</v>
      </c>
      <c r="M65" s="2" t="s">
        <v>19</v>
      </c>
    </row>
    <row r="66" spans="1:13">
      <c r="A66" s="1" t="s">
        <v>124</v>
      </c>
      <c r="B66" s="6">
        <v>46110</v>
      </c>
      <c r="C66" s="1" t="s">
        <v>21</v>
      </c>
      <c r="D66" s="1" t="s">
        <v>30</v>
      </c>
      <c r="E66" s="1" t="s">
        <v>28</v>
      </c>
      <c r="F66" s="1" t="s">
        <v>24</v>
      </c>
      <c r="G66" s="1">
        <v>4</v>
      </c>
      <c r="H66" s="11">
        <v>76400</v>
      </c>
      <c r="I66" s="11">
        <v>305600</v>
      </c>
      <c r="J66" s="11">
        <v>193200</v>
      </c>
      <c r="K66" s="11">
        <v>112400</v>
      </c>
      <c r="L66" s="1" t="s">
        <v>36</v>
      </c>
      <c r="M66" s="1" t="s">
        <v>19</v>
      </c>
    </row>
    <row r="67" spans="1:13">
      <c r="A67" s="2" t="s">
        <v>125</v>
      </c>
      <c r="B67" s="7">
        <v>46043</v>
      </c>
      <c r="C67" s="2" t="s">
        <v>21</v>
      </c>
      <c r="D67" s="2" t="s">
        <v>46</v>
      </c>
      <c r="E67" s="2" t="s">
        <v>100</v>
      </c>
      <c r="F67" s="2" t="s">
        <v>60</v>
      </c>
      <c r="G67" s="2">
        <v>8</v>
      </c>
      <c r="H67" s="12">
        <v>265400</v>
      </c>
      <c r="I67" s="12">
        <v>2123200</v>
      </c>
      <c r="J67" s="12">
        <v>1540800</v>
      </c>
      <c r="K67" s="12">
        <v>582400</v>
      </c>
      <c r="L67" s="2" t="s">
        <v>18</v>
      </c>
      <c r="M67" s="2" t="s">
        <v>19</v>
      </c>
    </row>
    <row r="68" spans="1:13">
      <c r="A68" s="1" t="s">
        <v>126</v>
      </c>
      <c r="B68" s="6">
        <v>46095</v>
      </c>
      <c r="C68" s="1" t="s">
        <v>69</v>
      </c>
      <c r="D68" s="1" t="s">
        <v>27</v>
      </c>
      <c r="E68" s="1" t="s">
        <v>59</v>
      </c>
      <c r="F68" s="1" t="s">
        <v>60</v>
      </c>
      <c r="G68" s="1">
        <v>1</v>
      </c>
      <c r="H68" s="11">
        <v>803700</v>
      </c>
      <c r="I68" s="11">
        <v>803700</v>
      </c>
      <c r="J68" s="11">
        <v>555300</v>
      </c>
      <c r="K68" s="11">
        <v>248400</v>
      </c>
      <c r="L68" s="1" t="s">
        <v>50</v>
      </c>
      <c r="M68" s="1" t="s">
        <v>25</v>
      </c>
    </row>
    <row r="69" spans="1:13">
      <c r="A69" s="2" t="s">
        <v>127</v>
      </c>
      <c r="B69" s="7">
        <v>46161</v>
      </c>
      <c r="C69" s="2" t="s">
        <v>21</v>
      </c>
      <c r="D69" s="2" t="s">
        <v>22</v>
      </c>
      <c r="E69" s="2" t="s">
        <v>53</v>
      </c>
      <c r="F69" s="2" t="s">
        <v>17</v>
      </c>
      <c r="G69" s="2">
        <v>2</v>
      </c>
      <c r="H69" s="12">
        <v>29100</v>
      </c>
      <c r="I69" s="12">
        <v>58200</v>
      </c>
      <c r="J69" s="12">
        <v>28000</v>
      </c>
      <c r="K69" s="12">
        <v>30200</v>
      </c>
      <c r="L69" s="2" t="s">
        <v>18</v>
      </c>
      <c r="M69" s="2" t="s">
        <v>19</v>
      </c>
    </row>
    <row r="70" spans="1:13">
      <c r="A70" s="1" t="s">
        <v>128</v>
      </c>
      <c r="B70" s="6">
        <v>46117</v>
      </c>
      <c r="C70" s="1" t="s">
        <v>21</v>
      </c>
      <c r="D70" s="1" t="s">
        <v>15</v>
      </c>
      <c r="E70" s="1" t="s">
        <v>28</v>
      </c>
      <c r="F70" s="1" t="s">
        <v>24</v>
      </c>
      <c r="G70" s="1">
        <v>1</v>
      </c>
      <c r="H70" s="11">
        <v>72000</v>
      </c>
      <c r="I70" s="11">
        <v>72000</v>
      </c>
      <c r="J70" s="11">
        <v>47100</v>
      </c>
      <c r="K70" s="11">
        <v>24900</v>
      </c>
      <c r="L70" s="1" t="s">
        <v>18</v>
      </c>
      <c r="M70" s="1" t="s">
        <v>19</v>
      </c>
    </row>
    <row r="71" spans="1:13">
      <c r="A71" s="2" t="s">
        <v>129</v>
      </c>
      <c r="B71" s="7">
        <v>46183</v>
      </c>
      <c r="C71" s="2" t="s">
        <v>62</v>
      </c>
      <c r="D71" s="2" t="s">
        <v>41</v>
      </c>
      <c r="E71" s="2" t="s">
        <v>86</v>
      </c>
      <c r="F71" s="2" t="s">
        <v>67</v>
      </c>
      <c r="G71" s="2">
        <v>5</v>
      </c>
      <c r="H71" s="12">
        <v>99400</v>
      </c>
      <c r="I71" s="12">
        <v>497000</v>
      </c>
      <c r="J71" s="12">
        <v>344500</v>
      </c>
      <c r="K71" s="12">
        <v>152500</v>
      </c>
      <c r="L71" s="2" t="s">
        <v>18</v>
      </c>
      <c r="M71" s="2" t="s">
        <v>19</v>
      </c>
    </row>
    <row r="72" spans="1:13">
      <c r="A72" s="1" t="s">
        <v>130</v>
      </c>
      <c r="B72" s="6">
        <v>46183</v>
      </c>
      <c r="C72" s="1" t="s">
        <v>49</v>
      </c>
      <c r="D72" s="1" t="s">
        <v>15</v>
      </c>
      <c r="E72" s="1" t="s">
        <v>23</v>
      </c>
      <c r="F72" s="1" t="s">
        <v>24</v>
      </c>
      <c r="G72" s="1">
        <v>1</v>
      </c>
      <c r="H72" s="11">
        <v>184100</v>
      </c>
      <c r="I72" s="11">
        <v>184100</v>
      </c>
      <c r="J72" s="11">
        <v>115900</v>
      </c>
      <c r="K72" s="11">
        <v>68200</v>
      </c>
      <c r="L72" s="1" t="s">
        <v>18</v>
      </c>
      <c r="M72" s="1" t="s">
        <v>19</v>
      </c>
    </row>
    <row r="73" spans="1:13">
      <c r="A73" s="2" t="s">
        <v>131</v>
      </c>
      <c r="B73" s="7">
        <v>46113</v>
      </c>
      <c r="C73" s="2" t="s">
        <v>52</v>
      </c>
      <c r="D73" s="2" t="s">
        <v>57</v>
      </c>
      <c r="E73" s="2" t="s">
        <v>82</v>
      </c>
      <c r="F73" s="2" t="s">
        <v>17</v>
      </c>
      <c r="G73" s="2">
        <v>5</v>
      </c>
      <c r="H73" s="12">
        <v>38500</v>
      </c>
      <c r="I73" s="12">
        <v>192500</v>
      </c>
      <c r="J73" s="12">
        <v>98500</v>
      </c>
      <c r="K73" s="12">
        <v>94000</v>
      </c>
      <c r="L73" s="2" t="s">
        <v>36</v>
      </c>
      <c r="M73" s="2" t="s">
        <v>32</v>
      </c>
    </row>
    <row r="74" spans="1:13">
      <c r="A74" s="1" t="s">
        <v>132</v>
      </c>
      <c r="B74" s="6">
        <v>46185</v>
      </c>
      <c r="C74" s="1" t="s">
        <v>38</v>
      </c>
      <c r="D74" s="1" t="s">
        <v>30</v>
      </c>
      <c r="E74" s="1" t="s">
        <v>86</v>
      </c>
      <c r="F74" s="1" t="s">
        <v>67</v>
      </c>
      <c r="G74" s="1">
        <v>1</v>
      </c>
      <c r="H74" s="11">
        <v>91700</v>
      </c>
      <c r="I74" s="11">
        <v>91700</v>
      </c>
      <c r="J74" s="11">
        <v>69200</v>
      </c>
      <c r="K74" s="11">
        <v>22500</v>
      </c>
      <c r="L74" s="1" t="s">
        <v>18</v>
      </c>
      <c r="M74" s="1" t="s">
        <v>25</v>
      </c>
    </row>
    <row r="75" spans="1:13">
      <c r="A75" s="2" t="s">
        <v>133</v>
      </c>
      <c r="B75" s="7">
        <v>46042</v>
      </c>
      <c r="C75" s="2" t="s">
        <v>69</v>
      </c>
      <c r="D75" s="2" t="s">
        <v>55</v>
      </c>
      <c r="E75" s="2" t="s">
        <v>86</v>
      </c>
      <c r="F75" s="2" t="s">
        <v>67</v>
      </c>
      <c r="G75" s="2">
        <v>1</v>
      </c>
      <c r="H75" s="12">
        <v>93400</v>
      </c>
      <c r="I75" s="12">
        <v>93400</v>
      </c>
      <c r="J75" s="12">
        <v>71300</v>
      </c>
      <c r="K75" s="12">
        <v>22100</v>
      </c>
      <c r="L75" s="2" t="s">
        <v>18</v>
      </c>
      <c r="M75" s="2" t="s">
        <v>25</v>
      </c>
    </row>
    <row r="76" spans="1:13">
      <c r="A76" s="1" t="s">
        <v>134</v>
      </c>
      <c r="B76" s="6">
        <v>46035</v>
      </c>
      <c r="C76" s="1" t="s">
        <v>14</v>
      </c>
      <c r="D76" s="1" t="s">
        <v>22</v>
      </c>
      <c r="E76" s="1" t="s">
        <v>70</v>
      </c>
      <c r="F76" s="1" t="s">
        <v>24</v>
      </c>
      <c r="G76" s="1">
        <v>1</v>
      </c>
      <c r="H76" s="11">
        <v>173000</v>
      </c>
      <c r="I76" s="11">
        <v>173000</v>
      </c>
      <c r="J76" s="11">
        <v>113000</v>
      </c>
      <c r="K76" s="11">
        <v>60000</v>
      </c>
      <c r="L76" s="1" t="s">
        <v>36</v>
      </c>
      <c r="M76" s="1" t="s">
        <v>19</v>
      </c>
    </row>
    <row r="77" spans="1:13">
      <c r="A77" s="2" t="s">
        <v>135</v>
      </c>
      <c r="B77" s="7">
        <v>46126</v>
      </c>
      <c r="C77" s="2" t="s">
        <v>69</v>
      </c>
      <c r="D77" s="2" t="s">
        <v>27</v>
      </c>
      <c r="E77" s="2" t="s">
        <v>82</v>
      </c>
      <c r="F77" s="2" t="s">
        <v>17</v>
      </c>
      <c r="G77" s="2">
        <v>2</v>
      </c>
      <c r="H77" s="12">
        <v>39800</v>
      </c>
      <c r="I77" s="12">
        <v>79600</v>
      </c>
      <c r="J77" s="12">
        <v>41400</v>
      </c>
      <c r="K77" s="12">
        <v>38200</v>
      </c>
      <c r="L77" s="2" t="s">
        <v>31</v>
      </c>
      <c r="M77" s="2" t="s">
        <v>75</v>
      </c>
    </row>
    <row r="78" spans="1:13">
      <c r="A78" s="1" t="s">
        <v>136</v>
      </c>
      <c r="B78" s="6">
        <v>46164</v>
      </c>
      <c r="C78" s="1" t="s">
        <v>21</v>
      </c>
      <c r="D78" s="1" t="s">
        <v>41</v>
      </c>
      <c r="E78" s="1" t="s">
        <v>116</v>
      </c>
      <c r="F78" s="1" t="s">
        <v>24</v>
      </c>
      <c r="G78" s="1">
        <v>1</v>
      </c>
      <c r="H78" s="11">
        <v>98700</v>
      </c>
      <c r="I78" s="11">
        <v>98700</v>
      </c>
      <c r="J78" s="11">
        <v>63900</v>
      </c>
      <c r="K78" s="11">
        <v>34800</v>
      </c>
      <c r="L78" s="1" t="s">
        <v>31</v>
      </c>
      <c r="M78" s="1" t="s">
        <v>19</v>
      </c>
    </row>
    <row r="79" spans="1:13">
      <c r="A79" s="2" t="s">
        <v>137</v>
      </c>
      <c r="B79" s="7">
        <v>46058</v>
      </c>
      <c r="C79" s="2" t="s">
        <v>69</v>
      </c>
      <c r="D79" s="2" t="s">
        <v>30</v>
      </c>
      <c r="E79" s="2" t="s">
        <v>59</v>
      </c>
      <c r="F79" s="2" t="s">
        <v>60</v>
      </c>
      <c r="G79" s="2">
        <v>3</v>
      </c>
      <c r="H79" s="12">
        <v>799700</v>
      </c>
      <c r="I79" s="12">
        <v>2399100</v>
      </c>
      <c r="J79" s="12">
        <v>1734900</v>
      </c>
      <c r="K79" s="12">
        <v>664200</v>
      </c>
      <c r="L79" s="2" t="s">
        <v>31</v>
      </c>
      <c r="M79" s="2" t="s">
        <v>19</v>
      </c>
    </row>
    <row r="80" spans="1:13">
      <c r="A80" s="1" t="s">
        <v>138</v>
      </c>
      <c r="B80" s="6">
        <v>46177</v>
      </c>
      <c r="C80" s="1" t="s">
        <v>38</v>
      </c>
      <c r="D80" s="1" t="s">
        <v>30</v>
      </c>
      <c r="E80" s="1" t="s">
        <v>73</v>
      </c>
      <c r="F80" s="1" t="s">
        <v>60</v>
      </c>
      <c r="G80" s="1">
        <v>4</v>
      </c>
      <c r="H80" s="11">
        <v>512000</v>
      </c>
      <c r="I80" s="11">
        <v>2048000</v>
      </c>
      <c r="J80" s="11">
        <v>1621200</v>
      </c>
      <c r="K80" s="11">
        <v>426800</v>
      </c>
      <c r="L80" s="1" t="s">
        <v>18</v>
      </c>
      <c r="M80" s="1" t="s">
        <v>32</v>
      </c>
    </row>
    <row r="81" spans="1:13">
      <c r="A81" s="2" t="s">
        <v>139</v>
      </c>
      <c r="B81" s="7">
        <v>46039</v>
      </c>
      <c r="C81" s="2" t="s">
        <v>62</v>
      </c>
      <c r="D81" s="2" t="s">
        <v>34</v>
      </c>
      <c r="E81" s="2" t="s">
        <v>88</v>
      </c>
      <c r="F81" s="2" t="s">
        <v>60</v>
      </c>
      <c r="G81" s="2">
        <v>4</v>
      </c>
      <c r="H81" s="12">
        <v>201000</v>
      </c>
      <c r="I81" s="12">
        <v>804000</v>
      </c>
      <c r="J81" s="12">
        <v>608800</v>
      </c>
      <c r="K81" s="12">
        <v>195200</v>
      </c>
      <c r="L81" s="2" t="s">
        <v>36</v>
      </c>
      <c r="M81" s="2" t="s">
        <v>32</v>
      </c>
    </row>
    <row r="82" spans="1:13">
      <c r="A82" s="1" t="s">
        <v>140</v>
      </c>
      <c r="B82" s="6">
        <v>46033</v>
      </c>
      <c r="C82" s="1" t="s">
        <v>38</v>
      </c>
      <c r="D82" s="1" t="s">
        <v>46</v>
      </c>
      <c r="E82" s="1" t="s">
        <v>82</v>
      </c>
      <c r="F82" s="1" t="s">
        <v>17</v>
      </c>
      <c r="G82" s="1">
        <v>2</v>
      </c>
      <c r="H82" s="11">
        <v>39700</v>
      </c>
      <c r="I82" s="11">
        <v>79400</v>
      </c>
      <c r="J82" s="11">
        <v>43400</v>
      </c>
      <c r="K82" s="11">
        <v>36000</v>
      </c>
      <c r="L82" s="1" t="s">
        <v>36</v>
      </c>
      <c r="M82" s="1" t="s">
        <v>75</v>
      </c>
    </row>
    <row r="83" spans="1:13">
      <c r="A83" s="2" t="s">
        <v>141</v>
      </c>
      <c r="B83" s="7">
        <v>46089</v>
      </c>
      <c r="C83" s="2" t="s">
        <v>62</v>
      </c>
      <c r="D83" s="2" t="s">
        <v>55</v>
      </c>
      <c r="E83" s="2" t="s">
        <v>47</v>
      </c>
      <c r="F83" s="2" t="s">
        <v>17</v>
      </c>
      <c r="G83" s="2">
        <v>3</v>
      </c>
      <c r="H83" s="12">
        <v>23000</v>
      </c>
      <c r="I83" s="12">
        <v>69000</v>
      </c>
      <c r="J83" s="12">
        <v>33300</v>
      </c>
      <c r="K83" s="12">
        <v>35700</v>
      </c>
      <c r="L83" s="2" t="s">
        <v>18</v>
      </c>
      <c r="M83" s="2" t="s">
        <v>19</v>
      </c>
    </row>
    <row r="84" spans="1:13">
      <c r="A84" s="1" t="s">
        <v>142</v>
      </c>
      <c r="B84" s="6">
        <v>46147</v>
      </c>
      <c r="C84" s="1" t="s">
        <v>52</v>
      </c>
      <c r="D84" s="1" t="s">
        <v>39</v>
      </c>
      <c r="E84" s="1" t="s">
        <v>86</v>
      </c>
      <c r="F84" s="1" t="s">
        <v>67</v>
      </c>
      <c r="G84" s="1">
        <v>5</v>
      </c>
      <c r="H84" s="11">
        <v>90700</v>
      </c>
      <c r="I84" s="11">
        <v>453500</v>
      </c>
      <c r="J84" s="11">
        <v>330500</v>
      </c>
      <c r="K84" s="11">
        <v>123000</v>
      </c>
      <c r="L84" s="1" t="s">
        <v>18</v>
      </c>
      <c r="M84" s="1" t="s">
        <v>19</v>
      </c>
    </row>
    <row r="85" spans="1:13">
      <c r="A85" s="2" t="s">
        <v>143</v>
      </c>
      <c r="B85" s="7">
        <v>46103</v>
      </c>
      <c r="C85" s="2" t="s">
        <v>62</v>
      </c>
      <c r="D85" s="2" t="s">
        <v>34</v>
      </c>
      <c r="E85" s="2" t="s">
        <v>88</v>
      </c>
      <c r="F85" s="2" t="s">
        <v>60</v>
      </c>
      <c r="G85" s="2">
        <v>2</v>
      </c>
      <c r="H85" s="12">
        <v>226100</v>
      </c>
      <c r="I85" s="12">
        <v>452200</v>
      </c>
      <c r="J85" s="12">
        <v>305200</v>
      </c>
      <c r="K85" s="12">
        <v>147000</v>
      </c>
      <c r="L85" s="2" t="s">
        <v>18</v>
      </c>
      <c r="M85" s="2" t="s">
        <v>19</v>
      </c>
    </row>
    <row r="86" spans="1:13">
      <c r="A86" s="1" t="s">
        <v>144</v>
      </c>
      <c r="B86" s="6">
        <v>46172</v>
      </c>
      <c r="C86" s="1" t="s">
        <v>62</v>
      </c>
      <c r="D86" s="1" t="s">
        <v>15</v>
      </c>
      <c r="E86" s="1" t="s">
        <v>86</v>
      </c>
      <c r="F86" s="1" t="s">
        <v>67</v>
      </c>
      <c r="G86" s="1">
        <v>1</v>
      </c>
      <c r="H86" s="11">
        <v>99200</v>
      </c>
      <c r="I86" s="11">
        <v>99200</v>
      </c>
      <c r="J86" s="11">
        <v>66700</v>
      </c>
      <c r="K86" s="11">
        <v>32500</v>
      </c>
      <c r="L86" s="1" t="s">
        <v>31</v>
      </c>
      <c r="M86" s="1" t="s">
        <v>25</v>
      </c>
    </row>
    <row r="87" spans="1:13">
      <c r="A87" s="2" t="s">
        <v>145</v>
      </c>
      <c r="B87" s="7">
        <v>46103</v>
      </c>
      <c r="C87" s="2" t="s">
        <v>49</v>
      </c>
      <c r="D87" s="2" t="s">
        <v>55</v>
      </c>
      <c r="E87" s="2" t="s">
        <v>16</v>
      </c>
      <c r="F87" s="2" t="s">
        <v>17</v>
      </c>
      <c r="G87" s="2">
        <v>2</v>
      </c>
      <c r="H87" s="12">
        <v>14000</v>
      </c>
      <c r="I87" s="12">
        <v>28000</v>
      </c>
      <c r="J87" s="12">
        <v>13600</v>
      </c>
      <c r="K87" s="12">
        <v>14400</v>
      </c>
      <c r="L87" s="2" t="s">
        <v>36</v>
      </c>
      <c r="M87" s="2" t="s">
        <v>25</v>
      </c>
    </row>
    <row r="88" spans="1:13">
      <c r="A88" s="1" t="s">
        <v>146</v>
      </c>
      <c r="B88" s="6">
        <v>46026</v>
      </c>
      <c r="C88" s="1" t="s">
        <v>62</v>
      </c>
      <c r="D88" s="1" t="s">
        <v>39</v>
      </c>
      <c r="E88" s="1" t="s">
        <v>86</v>
      </c>
      <c r="F88" s="1" t="s">
        <v>67</v>
      </c>
      <c r="G88" s="1">
        <v>5</v>
      </c>
      <c r="H88" s="11">
        <v>91400</v>
      </c>
      <c r="I88" s="11">
        <v>457000</v>
      </c>
      <c r="J88" s="11">
        <v>333000</v>
      </c>
      <c r="K88" s="11">
        <v>124000</v>
      </c>
      <c r="L88" s="1" t="s">
        <v>31</v>
      </c>
      <c r="M88" s="1" t="s">
        <v>25</v>
      </c>
    </row>
    <row r="89" spans="1:13">
      <c r="A89" s="2" t="s">
        <v>147</v>
      </c>
      <c r="B89" s="7">
        <v>46084</v>
      </c>
      <c r="C89" s="2" t="s">
        <v>14</v>
      </c>
      <c r="D89" s="2" t="s">
        <v>46</v>
      </c>
      <c r="E89" s="2" t="s">
        <v>16</v>
      </c>
      <c r="F89" s="2" t="s">
        <v>17</v>
      </c>
      <c r="G89" s="2">
        <v>5</v>
      </c>
      <c r="H89" s="12">
        <v>13800</v>
      </c>
      <c r="I89" s="12">
        <v>69000</v>
      </c>
      <c r="J89" s="12">
        <v>35000</v>
      </c>
      <c r="K89" s="12">
        <v>34000</v>
      </c>
      <c r="L89" s="2" t="s">
        <v>31</v>
      </c>
      <c r="M89" s="2" t="s">
        <v>32</v>
      </c>
    </row>
    <row r="90" spans="1:13">
      <c r="A90" s="1" t="s">
        <v>148</v>
      </c>
      <c r="B90" s="6">
        <v>46105</v>
      </c>
      <c r="C90" s="1" t="s">
        <v>69</v>
      </c>
      <c r="D90" s="1" t="s">
        <v>34</v>
      </c>
      <c r="E90" s="1" t="s">
        <v>73</v>
      </c>
      <c r="F90" s="1" t="s">
        <v>60</v>
      </c>
      <c r="G90" s="1">
        <v>3</v>
      </c>
      <c r="H90" s="11">
        <v>525100</v>
      </c>
      <c r="I90" s="11">
        <v>1575300</v>
      </c>
      <c r="J90" s="11">
        <v>1209000</v>
      </c>
      <c r="K90" s="11">
        <v>366300</v>
      </c>
      <c r="L90" s="1" t="s">
        <v>31</v>
      </c>
      <c r="M90" s="1" t="s">
        <v>19</v>
      </c>
    </row>
    <row r="91" spans="1:13">
      <c r="A91" s="2" t="s">
        <v>149</v>
      </c>
      <c r="B91" s="7">
        <v>46106</v>
      </c>
      <c r="C91" s="2" t="s">
        <v>14</v>
      </c>
      <c r="D91" s="2" t="s">
        <v>57</v>
      </c>
      <c r="E91" s="2" t="s">
        <v>23</v>
      </c>
      <c r="F91" s="2" t="s">
        <v>24</v>
      </c>
      <c r="G91" s="2">
        <v>3</v>
      </c>
      <c r="H91" s="12">
        <v>188500</v>
      </c>
      <c r="I91" s="12">
        <v>565500</v>
      </c>
      <c r="J91" s="12">
        <v>367200</v>
      </c>
      <c r="K91" s="12">
        <v>198300</v>
      </c>
      <c r="L91" s="2" t="s">
        <v>36</v>
      </c>
      <c r="M91" s="2" t="s">
        <v>19</v>
      </c>
    </row>
    <row r="92" spans="1:13">
      <c r="A92" s="1" t="s">
        <v>150</v>
      </c>
      <c r="B92" s="6">
        <v>46163</v>
      </c>
      <c r="C92" s="1" t="s">
        <v>21</v>
      </c>
      <c r="D92" s="1" t="s">
        <v>15</v>
      </c>
      <c r="E92" s="1" t="s">
        <v>86</v>
      </c>
      <c r="F92" s="1" t="s">
        <v>67</v>
      </c>
      <c r="G92" s="1">
        <v>3</v>
      </c>
      <c r="H92" s="11">
        <v>101900</v>
      </c>
      <c r="I92" s="11">
        <v>305700</v>
      </c>
      <c r="J92" s="11">
        <v>212400</v>
      </c>
      <c r="K92" s="11">
        <v>93300</v>
      </c>
      <c r="L92" s="1" t="s">
        <v>18</v>
      </c>
      <c r="M92" s="1" t="s">
        <v>19</v>
      </c>
    </row>
    <row r="93" spans="1:13">
      <c r="A93" s="2" t="s">
        <v>151</v>
      </c>
      <c r="B93" s="7">
        <v>46163</v>
      </c>
      <c r="C93" s="2" t="s">
        <v>52</v>
      </c>
      <c r="D93" s="2" t="s">
        <v>55</v>
      </c>
      <c r="E93" s="2" t="s">
        <v>35</v>
      </c>
      <c r="F93" s="2" t="s">
        <v>24</v>
      </c>
      <c r="G93" s="2">
        <v>5</v>
      </c>
      <c r="H93" s="12">
        <v>142000</v>
      </c>
      <c r="I93" s="12">
        <v>710000</v>
      </c>
      <c r="J93" s="12">
        <v>463000</v>
      </c>
      <c r="K93" s="12">
        <v>247000</v>
      </c>
      <c r="L93" s="2" t="s">
        <v>18</v>
      </c>
      <c r="M93" s="2" t="s">
        <v>19</v>
      </c>
    </row>
    <row r="94" spans="1:13">
      <c r="A94" s="1" t="s">
        <v>152</v>
      </c>
      <c r="B94" s="6">
        <v>46150</v>
      </c>
      <c r="C94" s="1" t="s">
        <v>62</v>
      </c>
      <c r="D94" s="1" t="s">
        <v>30</v>
      </c>
      <c r="E94" s="1" t="s">
        <v>86</v>
      </c>
      <c r="F94" s="1" t="s">
        <v>67</v>
      </c>
      <c r="G94" s="1">
        <v>1</v>
      </c>
      <c r="H94" s="11">
        <v>91500</v>
      </c>
      <c r="I94" s="11">
        <v>91500</v>
      </c>
      <c r="J94" s="11">
        <v>66800</v>
      </c>
      <c r="K94" s="11">
        <v>24700</v>
      </c>
      <c r="L94" s="1" t="s">
        <v>36</v>
      </c>
      <c r="M94" s="1" t="s">
        <v>19</v>
      </c>
    </row>
    <row r="95" spans="1:13">
      <c r="A95" s="2" t="s">
        <v>153</v>
      </c>
      <c r="B95" s="7">
        <v>46053</v>
      </c>
      <c r="C95" s="2" t="s">
        <v>69</v>
      </c>
      <c r="D95" s="2" t="s">
        <v>57</v>
      </c>
      <c r="E95" s="2" t="s">
        <v>16</v>
      </c>
      <c r="F95" s="2" t="s">
        <v>17</v>
      </c>
      <c r="G95" s="2">
        <v>3</v>
      </c>
      <c r="H95" s="12">
        <v>14100</v>
      </c>
      <c r="I95" s="12">
        <v>42300</v>
      </c>
      <c r="J95" s="12">
        <v>21300</v>
      </c>
      <c r="K95" s="12">
        <v>21000</v>
      </c>
      <c r="L95" s="2" t="s">
        <v>18</v>
      </c>
      <c r="M95" s="2" t="s">
        <v>19</v>
      </c>
    </row>
    <row r="96" spans="1:13">
      <c r="A96" s="1" t="s">
        <v>154</v>
      </c>
      <c r="B96" s="6">
        <v>46170</v>
      </c>
      <c r="C96" s="1" t="s">
        <v>52</v>
      </c>
      <c r="D96" s="1" t="s">
        <v>46</v>
      </c>
      <c r="E96" s="1" t="s">
        <v>88</v>
      </c>
      <c r="F96" s="1" t="s">
        <v>60</v>
      </c>
      <c r="G96" s="1">
        <v>3</v>
      </c>
      <c r="H96" s="11">
        <v>216400</v>
      </c>
      <c r="I96" s="11">
        <v>649200</v>
      </c>
      <c r="J96" s="11">
        <v>444000</v>
      </c>
      <c r="K96" s="11">
        <v>205200</v>
      </c>
      <c r="L96" s="1" t="s">
        <v>50</v>
      </c>
      <c r="M96" s="1" t="s">
        <v>19</v>
      </c>
    </row>
    <row r="97" spans="1:13">
      <c r="A97" s="2" t="s">
        <v>155</v>
      </c>
      <c r="B97" s="7">
        <v>46062</v>
      </c>
      <c r="C97" s="2" t="s">
        <v>62</v>
      </c>
      <c r="D97" s="2" t="s">
        <v>39</v>
      </c>
      <c r="E97" s="2" t="s">
        <v>42</v>
      </c>
      <c r="F97" s="2" t="s">
        <v>43</v>
      </c>
      <c r="G97" s="2">
        <v>2</v>
      </c>
      <c r="H97" s="12">
        <v>64000</v>
      </c>
      <c r="I97" s="12">
        <v>128000</v>
      </c>
      <c r="J97" s="12">
        <v>88600</v>
      </c>
      <c r="K97" s="12">
        <v>39400</v>
      </c>
      <c r="L97" s="2" t="s">
        <v>18</v>
      </c>
      <c r="M97" s="2" t="s">
        <v>19</v>
      </c>
    </row>
    <row r="98" spans="1:13">
      <c r="A98" s="1" t="s">
        <v>156</v>
      </c>
      <c r="B98" s="6">
        <v>46159</v>
      </c>
      <c r="C98" s="1" t="s">
        <v>62</v>
      </c>
      <c r="D98" s="1" t="s">
        <v>46</v>
      </c>
      <c r="E98" s="1" t="s">
        <v>53</v>
      </c>
      <c r="F98" s="1" t="s">
        <v>17</v>
      </c>
      <c r="G98" s="1">
        <v>3</v>
      </c>
      <c r="H98" s="11">
        <v>26900</v>
      </c>
      <c r="I98" s="11">
        <v>80700</v>
      </c>
      <c r="J98" s="11">
        <v>43500</v>
      </c>
      <c r="K98" s="11">
        <v>37200</v>
      </c>
      <c r="L98" s="1" t="s">
        <v>18</v>
      </c>
      <c r="M98" s="1" t="s">
        <v>19</v>
      </c>
    </row>
    <row r="99" spans="1:13">
      <c r="A99" s="2" t="s">
        <v>157</v>
      </c>
      <c r="B99" s="7">
        <v>46175</v>
      </c>
      <c r="C99" s="2" t="s">
        <v>21</v>
      </c>
      <c r="D99" s="2" t="s">
        <v>41</v>
      </c>
      <c r="E99" s="2" t="s">
        <v>28</v>
      </c>
      <c r="F99" s="2" t="s">
        <v>24</v>
      </c>
      <c r="G99" s="2">
        <v>5</v>
      </c>
      <c r="H99" s="12">
        <v>76200</v>
      </c>
      <c r="I99" s="12">
        <v>381000</v>
      </c>
      <c r="J99" s="12">
        <v>231500</v>
      </c>
      <c r="K99" s="12">
        <v>149500</v>
      </c>
      <c r="L99" s="2" t="s">
        <v>36</v>
      </c>
      <c r="M99" s="2" t="s">
        <v>19</v>
      </c>
    </row>
    <row r="100" spans="1:13">
      <c r="A100" s="1" t="s">
        <v>158</v>
      </c>
      <c r="B100" s="6">
        <v>46072</v>
      </c>
      <c r="C100" s="1" t="s">
        <v>21</v>
      </c>
      <c r="D100" s="1" t="s">
        <v>30</v>
      </c>
      <c r="E100" s="1" t="s">
        <v>116</v>
      </c>
      <c r="F100" s="1" t="s">
        <v>24</v>
      </c>
      <c r="G100" s="1">
        <v>1</v>
      </c>
      <c r="H100" s="11">
        <v>95600</v>
      </c>
      <c r="I100" s="11">
        <v>95600</v>
      </c>
      <c r="J100" s="11">
        <v>68700</v>
      </c>
      <c r="K100" s="11">
        <v>26900</v>
      </c>
      <c r="L100" s="1" t="s">
        <v>31</v>
      </c>
      <c r="M100" s="1" t="s">
        <v>19</v>
      </c>
    </row>
    <row r="101" spans="1:13">
      <c r="A101" s="2" t="s">
        <v>159</v>
      </c>
      <c r="B101" s="7">
        <v>46195</v>
      </c>
      <c r="C101" s="2" t="s">
        <v>52</v>
      </c>
      <c r="D101" s="2" t="s">
        <v>22</v>
      </c>
      <c r="E101" s="2" t="s">
        <v>116</v>
      </c>
      <c r="F101" s="2" t="s">
        <v>24</v>
      </c>
      <c r="G101" s="2">
        <v>8</v>
      </c>
      <c r="H101" s="12">
        <v>101200</v>
      </c>
      <c r="I101" s="12">
        <v>809600</v>
      </c>
      <c r="J101" s="12">
        <v>522400</v>
      </c>
      <c r="K101" s="12">
        <v>287200</v>
      </c>
      <c r="L101" s="2" t="s">
        <v>18</v>
      </c>
      <c r="M101" s="2" t="s">
        <v>19</v>
      </c>
    </row>
    <row r="102" spans="1:13">
      <c r="A102" s="1" t="s">
        <v>160</v>
      </c>
      <c r="B102" s="6">
        <v>46067</v>
      </c>
      <c r="C102" s="1" t="s">
        <v>21</v>
      </c>
      <c r="D102" s="1" t="s">
        <v>30</v>
      </c>
      <c r="E102" s="1" t="s">
        <v>35</v>
      </c>
      <c r="F102" s="1" t="s">
        <v>24</v>
      </c>
      <c r="G102" s="1">
        <v>6</v>
      </c>
      <c r="H102" s="11">
        <v>128000</v>
      </c>
      <c r="I102" s="11">
        <v>768000</v>
      </c>
      <c r="J102" s="11">
        <v>573000</v>
      </c>
      <c r="K102" s="11">
        <v>195000</v>
      </c>
      <c r="L102" s="1" t="s">
        <v>18</v>
      </c>
      <c r="M102" s="1" t="s">
        <v>19</v>
      </c>
    </row>
    <row r="103" spans="1:13">
      <c r="A103" s="2" t="s">
        <v>161</v>
      </c>
      <c r="B103" s="7">
        <v>46068</v>
      </c>
      <c r="C103" s="2" t="s">
        <v>45</v>
      </c>
      <c r="D103" s="2" t="s">
        <v>41</v>
      </c>
      <c r="E103" s="2" t="s">
        <v>86</v>
      </c>
      <c r="F103" s="2" t="s">
        <v>67</v>
      </c>
      <c r="G103" s="2">
        <v>3</v>
      </c>
      <c r="H103" s="12">
        <v>91200</v>
      </c>
      <c r="I103" s="12">
        <v>273600</v>
      </c>
      <c r="J103" s="12">
        <v>201600</v>
      </c>
      <c r="K103" s="12">
        <v>72000</v>
      </c>
      <c r="L103" s="2" t="s">
        <v>18</v>
      </c>
      <c r="M103" s="2" t="s">
        <v>19</v>
      </c>
    </row>
    <row r="104" spans="1:13">
      <c r="A104" s="1" t="s">
        <v>162</v>
      </c>
      <c r="B104" s="6">
        <v>46070</v>
      </c>
      <c r="C104" s="1" t="s">
        <v>52</v>
      </c>
      <c r="D104" s="1" t="s">
        <v>30</v>
      </c>
      <c r="E104" s="1" t="s">
        <v>28</v>
      </c>
      <c r="F104" s="1" t="s">
        <v>24</v>
      </c>
      <c r="G104" s="1">
        <v>8</v>
      </c>
      <c r="H104" s="11">
        <v>77000</v>
      </c>
      <c r="I104" s="11">
        <v>616000</v>
      </c>
      <c r="J104" s="11">
        <v>384800</v>
      </c>
      <c r="K104" s="11">
        <v>231200</v>
      </c>
      <c r="L104" s="1" t="s">
        <v>31</v>
      </c>
      <c r="M104" s="1" t="s">
        <v>32</v>
      </c>
    </row>
    <row r="105" spans="1:13">
      <c r="A105" s="2" t="s">
        <v>163</v>
      </c>
      <c r="B105" s="7">
        <v>46118</v>
      </c>
      <c r="C105" s="2" t="s">
        <v>52</v>
      </c>
      <c r="D105" s="2" t="s">
        <v>55</v>
      </c>
      <c r="E105" s="2" t="s">
        <v>16</v>
      </c>
      <c r="F105" s="2" t="s">
        <v>17</v>
      </c>
      <c r="G105" s="2">
        <v>8</v>
      </c>
      <c r="H105" s="12">
        <v>13700</v>
      </c>
      <c r="I105" s="12">
        <v>109600</v>
      </c>
      <c r="J105" s="12">
        <v>58400</v>
      </c>
      <c r="K105" s="12">
        <v>51200</v>
      </c>
      <c r="L105" s="2" t="s">
        <v>50</v>
      </c>
      <c r="M105" s="2" t="s">
        <v>19</v>
      </c>
    </row>
    <row r="106" spans="1:13">
      <c r="A106" s="1" t="s">
        <v>164</v>
      </c>
      <c r="B106" s="6">
        <v>46102</v>
      </c>
      <c r="C106" s="1" t="s">
        <v>45</v>
      </c>
      <c r="D106" s="1" t="s">
        <v>30</v>
      </c>
      <c r="E106" s="1" t="s">
        <v>28</v>
      </c>
      <c r="F106" s="1" t="s">
        <v>24</v>
      </c>
      <c r="G106" s="1">
        <v>2</v>
      </c>
      <c r="H106" s="11">
        <v>79400</v>
      </c>
      <c r="I106" s="11">
        <v>158800</v>
      </c>
      <c r="J106" s="11">
        <v>93000</v>
      </c>
      <c r="K106" s="11">
        <v>65800</v>
      </c>
      <c r="L106" s="1" t="s">
        <v>31</v>
      </c>
      <c r="M106" s="1" t="s">
        <v>32</v>
      </c>
    </row>
    <row r="107" spans="1:13">
      <c r="A107" s="2" t="s">
        <v>165</v>
      </c>
      <c r="B107" s="7">
        <v>46186</v>
      </c>
      <c r="C107" s="2" t="s">
        <v>69</v>
      </c>
      <c r="D107" s="2" t="s">
        <v>34</v>
      </c>
      <c r="E107" s="2" t="s">
        <v>66</v>
      </c>
      <c r="F107" s="2" t="s">
        <v>67</v>
      </c>
      <c r="G107" s="2">
        <v>2</v>
      </c>
      <c r="H107" s="12">
        <v>76500</v>
      </c>
      <c r="I107" s="12">
        <v>153000</v>
      </c>
      <c r="J107" s="12">
        <v>99200</v>
      </c>
      <c r="K107" s="12">
        <v>53800</v>
      </c>
      <c r="L107" s="2" t="s">
        <v>18</v>
      </c>
      <c r="M107" s="2" t="s">
        <v>25</v>
      </c>
    </row>
    <row r="108" spans="1:13">
      <c r="A108" s="1" t="s">
        <v>166</v>
      </c>
      <c r="B108" s="6">
        <v>46049</v>
      </c>
      <c r="C108" s="1" t="s">
        <v>52</v>
      </c>
      <c r="D108" s="1" t="s">
        <v>55</v>
      </c>
      <c r="E108" s="1" t="s">
        <v>116</v>
      </c>
      <c r="F108" s="1" t="s">
        <v>24</v>
      </c>
      <c r="G108" s="1">
        <v>1</v>
      </c>
      <c r="H108" s="11">
        <v>99100</v>
      </c>
      <c r="I108" s="11">
        <v>99100</v>
      </c>
      <c r="J108" s="11">
        <v>64800</v>
      </c>
      <c r="K108" s="11">
        <v>34300</v>
      </c>
      <c r="L108" s="1" t="s">
        <v>36</v>
      </c>
      <c r="M108" s="1" t="s">
        <v>19</v>
      </c>
    </row>
    <row r="109" spans="1:13">
      <c r="A109" s="2" t="s">
        <v>167</v>
      </c>
      <c r="B109" s="7">
        <v>46104</v>
      </c>
      <c r="C109" s="2" t="s">
        <v>21</v>
      </c>
      <c r="D109" s="2" t="s">
        <v>57</v>
      </c>
      <c r="E109" s="2" t="s">
        <v>59</v>
      </c>
      <c r="F109" s="2" t="s">
        <v>60</v>
      </c>
      <c r="G109" s="2">
        <v>3</v>
      </c>
      <c r="H109" s="12">
        <v>754900</v>
      </c>
      <c r="I109" s="12">
        <v>2264700</v>
      </c>
      <c r="J109" s="12">
        <v>1743000</v>
      </c>
      <c r="K109" s="12">
        <v>521700</v>
      </c>
      <c r="L109" s="2" t="s">
        <v>36</v>
      </c>
      <c r="M109" s="2" t="s">
        <v>75</v>
      </c>
    </row>
    <row r="110" spans="1:13">
      <c r="A110" s="1" t="s">
        <v>168</v>
      </c>
      <c r="B110" s="6">
        <v>46072</v>
      </c>
      <c r="C110" s="1" t="s">
        <v>69</v>
      </c>
      <c r="D110" s="1" t="s">
        <v>22</v>
      </c>
      <c r="E110" s="1" t="s">
        <v>28</v>
      </c>
      <c r="F110" s="1" t="s">
        <v>24</v>
      </c>
      <c r="G110" s="1">
        <v>4</v>
      </c>
      <c r="H110" s="11">
        <v>73900</v>
      </c>
      <c r="I110" s="11">
        <v>295600</v>
      </c>
      <c r="J110" s="11">
        <v>180400</v>
      </c>
      <c r="K110" s="11">
        <v>115200</v>
      </c>
      <c r="L110" s="1" t="s">
        <v>18</v>
      </c>
      <c r="M110" s="1" t="s">
        <v>19</v>
      </c>
    </row>
    <row r="111" spans="1:13">
      <c r="A111" s="2" t="s">
        <v>169</v>
      </c>
      <c r="B111" s="7">
        <v>46201</v>
      </c>
      <c r="C111" s="2" t="s">
        <v>14</v>
      </c>
      <c r="D111" s="2" t="s">
        <v>22</v>
      </c>
      <c r="E111" s="2" t="s">
        <v>73</v>
      </c>
      <c r="F111" s="2" t="s">
        <v>60</v>
      </c>
      <c r="G111" s="2">
        <v>1</v>
      </c>
      <c r="H111" s="12">
        <v>531500</v>
      </c>
      <c r="I111" s="12">
        <v>531500</v>
      </c>
      <c r="J111" s="12">
        <v>390900</v>
      </c>
      <c r="K111" s="12">
        <v>140600</v>
      </c>
      <c r="L111" s="2" t="s">
        <v>36</v>
      </c>
      <c r="M111" s="2" t="s">
        <v>25</v>
      </c>
    </row>
    <row r="112" spans="1:13">
      <c r="A112" s="1" t="s">
        <v>170</v>
      </c>
      <c r="B112" s="6">
        <v>46176</v>
      </c>
      <c r="C112" s="1" t="s">
        <v>62</v>
      </c>
      <c r="D112" s="1" t="s">
        <v>41</v>
      </c>
      <c r="E112" s="1" t="s">
        <v>59</v>
      </c>
      <c r="F112" s="1" t="s">
        <v>60</v>
      </c>
      <c r="G112" s="1">
        <v>4</v>
      </c>
      <c r="H112" s="11">
        <v>770100</v>
      </c>
      <c r="I112" s="11">
        <v>3080400</v>
      </c>
      <c r="J112" s="11">
        <v>2159600</v>
      </c>
      <c r="K112" s="11">
        <v>920800</v>
      </c>
      <c r="L112" s="1" t="s">
        <v>18</v>
      </c>
      <c r="M112" s="1" t="s">
        <v>32</v>
      </c>
    </row>
    <row r="113" spans="1:13">
      <c r="A113" s="2" t="s">
        <v>171</v>
      </c>
      <c r="B113" s="7">
        <v>46057</v>
      </c>
      <c r="C113" s="2" t="s">
        <v>14</v>
      </c>
      <c r="D113" s="2" t="s">
        <v>15</v>
      </c>
      <c r="E113" s="2" t="s">
        <v>53</v>
      </c>
      <c r="F113" s="2" t="s">
        <v>17</v>
      </c>
      <c r="G113" s="2">
        <v>2</v>
      </c>
      <c r="H113" s="12">
        <v>28300</v>
      </c>
      <c r="I113" s="12">
        <v>56600</v>
      </c>
      <c r="J113" s="12">
        <v>28600</v>
      </c>
      <c r="K113" s="12">
        <v>28000</v>
      </c>
      <c r="L113" s="2" t="s">
        <v>18</v>
      </c>
      <c r="M113" s="2" t="s">
        <v>25</v>
      </c>
    </row>
    <row r="114" spans="1:13">
      <c r="A114" s="1" t="s">
        <v>172</v>
      </c>
      <c r="B114" s="6">
        <v>46043</v>
      </c>
      <c r="C114" s="1" t="s">
        <v>49</v>
      </c>
      <c r="D114" s="1" t="s">
        <v>46</v>
      </c>
      <c r="E114" s="1" t="s">
        <v>82</v>
      </c>
      <c r="F114" s="1" t="s">
        <v>17</v>
      </c>
      <c r="G114" s="1">
        <v>1</v>
      </c>
      <c r="H114" s="11">
        <v>37600</v>
      </c>
      <c r="I114" s="11">
        <v>37600</v>
      </c>
      <c r="J114" s="11">
        <v>19700</v>
      </c>
      <c r="K114" s="11">
        <v>17900</v>
      </c>
      <c r="L114" s="1" t="s">
        <v>31</v>
      </c>
      <c r="M114" s="1" t="s">
        <v>19</v>
      </c>
    </row>
    <row r="115" spans="1:13">
      <c r="A115" s="2" t="s">
        <v>173</v>
      </c>
      <c r="B115" s="7">
        <v>46181</v>
      </c>
      <c r="C115" s="2" t="s">
        <v>14</v>
      </c>
      <c r="D115" s="2" t="s">
        <v>41</v>
      </c>
      <c r="E115" s="2" t="s">
        <v>86</v>
      </c>
      <c r="F115" s="2" t="s">
        <v>67</v>
      </c>
      <c r="G115" s="2">
        <v>3</v>
      </c>
      <c r="H115" s="12">
        <v>93200</v>
      </c>
      <c r="I115" s="12">
        <v>279600</v>
      </c>
      <c r="J115" s="12">
        <v>205200</v>
      </c>
      <c r="K115" s="12">
        <v>74400</v>
      </c>
      <c r="L115" s="2" t="s">
        <v>18</v>
      </c>
      <c r="M115" s="2" t="s">
        <v>19</v>
      </c>
    </row>
    <row r="116" spans="1:13">
      <c r="A116" s="1" t="s">
        <v>174</v>
      </c>
      <c r="B116" s="6">
        <v>46144</v>
      </c>
      <c r="C116" s="1" t="s">
        <v>62</v>
      </c>
      <c r="D116" s="1" t="s">
        <v>46</v>
      </c>
      <c r="E116" s="1" t="s">
        <v>42</v>
      </c>
      <c r="F116" s="1" t="s">
        <v>43</v>
      </c>
      <c r="G116" s="1">
        <v>2</v>
      </c>
      <c r="H116" s="11">
        <v>61800</v>
      </c>
      <c r="I116" s="11">
        <v>123600</v>
      </c>
      <c r="J116" s="11">
        <v>82000</v>
      </c>
      <c r="K116" s="11">
        <v>41600</v>
      </c>
      <c r="L116" s="1" t="s">
        <v>50</v>
      </c>
      <c r="M116" s="1" t="s">
        <v>75</v>
      </c>
    </row>
    <row r="117" spans="1:13">
      <c r="A117" s="2" t="s">
        <v>175</v>
      </c>
      <c r="B117" s="7">
        <v>46090</v>
      </c>
      <c r="C117" s="2" t="s">
        <v>14</v>
      </c>
      <c r="D117" s="2" t="s">
        <v>34</v>
      </c>
      <c r="E117" s="2" t="s">
        <v>47</v>
      </c>
      <c r="F117" s="2" t="s">
        <v>17</v>
      </c>
      <c r="G117" s="2">
        <v>5</v>
      </c>
      <c r="H117" s="12">
        <v>22500</v>
      </c>
      <c r="I117" s="12">
        <v>112500</v>
      </c>
      <c r="J117" s="12">
        <v>57000</v>
      </c>
      <c r="K117" s="12">
        <v>55500</v>
      </c>
      <c r="L117" s="2" t="s">
        <v>18</v>
      </c>
      <c r="M117" s="2" t="s">
        <v>25</v>
      </c>
    </row>
    <row r="118" spans="1:13">
      <c r="A118" s="1" t="s">
        <v>176</v>
      </c>
      <c r="B118" s="6">
        <v>46088</v>
      </c>
      <c r="C118" s="1" t="s">
        <v>52</v>
      </c>
      <c r="D118" s="1" t="s">
        <v>15</v>
      </c>
      <c r="E118" s="1" t="s">
        <v>66</v>
      </c>
      <c r="F118" s="1" t="s">
        <v>67</v>
      </c>
      <c r="G118" s="1">
        <v>10</v>
      </c>
      <c r="H118" s="11">
        <v>70900</v>
      </c>
      <c r="I118" s="11">
        <v>709000</v>
      </c>
      <c r="J118" s="11">
        <v>488000</v>
      </c>
      <c r="K118" s="11">
        <v>221000</v>
      </c>
      <c r="L118" s="1" t="s">
        <v>31</v>
      </c>
      <c r="M118" s="1" t="s">
        <v>19</v>
      </c>
    </row>
    <row r="119" spans="1:13">
      <c r="A119" s="2" t="s">
        <v>177</v>
      </c>
      <c r="B119" s="7">
        <v>46058</v>
      </c>
      <c r="C119" s="2" t="s">
        <v>21</v>
      </c>
      <c r="D119" s="2" t="s">
        <v>30</v>
      </c>
      <c r="E119" s="2" t="s">
        <v>88</v>
      </c>
      <c r="F119" s="2" t="s">
        <v>60</v>
      </c>
      <c r="G119" s="2">
        <v>1</v>
      </c>
      <c r="H119" s="12">
        <v>200700</v>
      </c>
      <c r="I119" s="12">
        <v>200700</v>
      </c>
      <c r="J119" s="12">
        <v>151600</v>
      </c>
      <c r="K119" s="12">
        <v>49100</v>
      </c>
      <c r="L119" s="2" t="s">
        <v>31</v>
      </c>
      <c r="M119" s="2" t="s">
        <v>32</v>
      </c>
    </row>
    <row r="120" spans="1:13">
      <c r="A120" s="1" t="s">
        <v>178</v>
      </c>
      <c r="B120" s="6">
        <v>46136</v>
      </c>
      <c r="C120" s="1" t="s">
        <v>52</v>
      </c>
      <c r="D120" s="1" t="s">
        <v>57</v>
      </c>
      <c r="E120" s="1" t="s">
        <v>66</v>
      </c>
      <c r="F120" s="1" t="s">
        <v>67</v>
      </c>
      <c r="G120" s="1">
        <v>3</v>
      </c>
      <c r="H120" s="11">
        <v>73200</v>
      </c>
      <c r="I120" s="11">
        <v>219600</v>
      </c>
      <c r="J120" s="11">
        <v>155100</v>
      </c>
      <c r="K120" s="11">
        <v>64500</v>
      </c>
      <c r="L120" s="1" t="s">
        <v>50</v>
      </c>
      <c r="M120" s="1" t="s">
        <v>19</v>
      </c>
    </row>
    <row r="121" spans="1:13">
      <c r="A121" s="2" t="s">
        <v>179</v>
      </c>
      <c r="B121" s="7">
        <v>46032</v>
      </c>
      <c r="C121" s="2" t="s">
        <v>21</v>
      </c>
      <c r="D121" s="2" t="s">
        <v>34</v>
      </c>
      <c r="E121" s="2" t="s">
        <v>70</v>
      </c>
      <c r="F121" s="2" t="s">
        <v>24</v>
      </c>
      <c r="G121" s="2">
        <v>3</v>
      </c>
      <c r="H121" s="12">
        <v>177200</v>
      </c>
      <c r="I121" s="12">
        <v>531600</v>
      </c>
      <c r="J121" s="12">
        <v>351300</v>
      </c>
      <c r="K121" s="12">
        <v>180300</v>
      </c>
      <c r="L121" s="2" t="s">
        <v>50</v>
      </c>
      <c r="M121" s="2" t="s">
        <v>32</v>
      </c>
    </row>
    <row r="122" spans="1:13">
      <c r="A122" s="1" t="s">
        <v>180</v>
      </c>
      <c r="B122" s="6">
        <v>46036</v>
      </c>
      <c r="C122" s="1" t="s">
        <v>21</v>
      </c>
      <c r="D122" s="1" t="s">
        <v>39</v>
      </c>
      <c r="E122" s="1" t="s">
        <v>23</v>
      </c>
      <c r="F122" s="1" t="s">
        <v>24</v>
      </c>
      <c r="G122" s="1">
        <v>4</v>
      </c>
      <c r="H122" s="11">
        <v>185000</v>
      </c>
      <c r="I122" s="11">
        <v>740000</v>
      </c>
      <c r="J122" s="11">
        <v>460400</v>
      </c>
      <c r="K122" s="11">
        <v>279600</v>
      </c>
      <c r="L122" s="1" t="s">
        <v>18</v>
      </c>
      <c r="M122" s="1" t="s">
        <v>19</v>
      </c>
    </row>
    <row r="123" spans="1:13">
      <c r="A123" s="2" t="s">
        <v>181</v>
      </c>
      <c r="B123" s="7">
        <v>46118</v>
      </c>
      <c r="C123" s="2" t="s">
        <v>14</v>
      </c>
      <c r="D123" s="2" t="s">
        <v>22</v>
      </c>
      <c r="E123" s="2" t="s">
        <v>88</v>
      </c>
      <c r="F123" s="2" t="s">
        <v>60</v>
      </c>
      <c r="G123" s="2">
        <v>1</v>
      </c>
      <c r="H123" s="12">
        <v>221800</v>
      </c>
      <c r="I123" s="12">
        <v>221800</v>
      </c>
      <c r="J123" s="12">
        <v>142000</v>
      </c>
      <c r="K123" s="12">
        <v>79800</v>
      </c>
      <c r="L123" s="2" t="s">
        <v>31</v>
      </c>
      <c r="M123" s="2" t="s">
        <v>19</v>
      </c>
    </row>
    <row r="124" spans="1:13">
      <c r="A124" s="1" t="s">
        <v>182</v>
      </c>
      <c r="B124" s="6">
        <v>46045</v>
      </c>
      <c r="C124" s="1" t="s">
        <v>21</v>
      </c>
      <c r="D124" s="1" t="s">
        <v>30</v>
      </c>
      <c r="E124" s="1" t="s">
        <v>47</v>
      </c>
      <c r="F124" s="1" t="s">
        <v>17</v>
      </c>
      <c r="G124" s="1">
        <v>4</v>
      </c>
      <c r="H124" s="11">
        <v>23400</v>
      </c>
      <c r="I124" s="11">
        <v>93600</v>
      </c>
      <c r="J124" s="11">
        <v>44000</v>
      </c>
      <c r="K124" s="11">
        <v>49600</v>
      </c>
      <c r="L124" s="1" t="s">
        <v>31</v>
      </c>
      <c r="M124" s="1" t="s">
        <v>19</v>
      </c>
    </row>
    <row r="125" spans="1:13">
      <c r="A125" s="2" t="s">
        <v>183</v>
      </c>
      <c r="B125" s="7">
        <v>46046</v>
      </c>
      <c r="C125" s="2" t="s">
        <v>62</v>
      </c>
      <c r="D125" s="2" t="s">
        <v>22</v>
      </c>
      <c r="E125" s="2" t="s">
        <v>88</v>
      </c>
      <c r="F125" s="2" t="s">
        <v>60</v>
      </c>
      <c r="G125" s="2">
        <v>2</v>
      </c>
      <c r="H125" s="12">
        <v>198100</v>
      </c>
      <c r="I125" s="12">
        <v>396200</v>
      </c>
      <c r="J125" s="12">
        <v>280400</v>
      </c>
      <c r="K125" s="12">
        <v>115800</v>
      </c>
      <c r="L125" s="2" t="s">
        <v>31</v>
      </c>
      <c r="M125" s="2" t="s">
        <v>19</v>
      </c>
    </row>
    <row r="126" spans="1:13">
      <c r="A126" s="1" t="s">
        <v>184</v>
      </c>
      <c r="B126" s="6">
        <v>46170</v>
      </c>
      <c r="C126" s="1" t="s">
        <v>49</v>
      </c>
      <c r="D126" s="1" t="s">
        <v>15</v>
      </c>
      <c r="E126" s="1" t="s">
        <v>82</v>
      </c>
      <c r="F126" s="1" t="s">
        <v>17</v>
      </c>
      <c r="G126" s="1">
        <v>1</v>
      </c>
      <c r="H126" s="11">
        <v>39600</v>
      </c>
      <c r="I126" s="11">
        <v>39600</v>
      </c>
      <c r="J126" s="11">
        <v>19900</v>
      </c>
      <c r="K126" s="11">
        <v>19700</v>
      </c>
      <c r="L126" s="1" t="s">
        <v>18</v>
      </c>
      <c r="M126" s="1" t="s">
        <v>25</v>
      </c>
    </row>
    <row r="127" spans="1:13">
      <c r="A127" s="2" t="s">
        <v>185</v>
      </c>
      <c r="B127" s="7">
        <v>46081</v>
      </c>
      <c r="C127" s="2" t="s">
        <v>49</v>
      </c>
      <c r="D127" s="2" t="s">
        <v>39</v>
      </c>
      <c r="E127" s="2" t="s">
        <v>70</v>
      </c>
      <c r="F127" s="2" t="s">
        <v>24</v>
      </c>
      <c r="G127" s="2">
        <v>1</v>
      </c>
      <c r="H127" s="12">
        <v>159700</v>
      </c>
      <c r="I127" s="12">
        <v>159700</v>
      </c>
      <c r="J127" s="12">
        <v>118000</v>
      </c>
      <c r="K127" s="12">
        <v>41700</v>
      </c>
      <c r="L127" s="2" t="s">
        <v>50</v>
      </c>
      <c r="M127" s="2" t="s">
        <v>19</v>
      </c>
    </row>
    <row r="128" spans="1:13">
      <c r="A128" s="1" t="s">
        <v>186</v>
      </c>
      <c r="B128" s="6">
        <v>46195</v>
      </c>
      <c r="C128" s="1" t="s">
        <v>62</v>
      </c>
      <c r="D128" s="1" t="s">
        <v>22</v>
      </c>
      <c r="E128" s="1" t="s">
        <v>28</v>
      </c>
      <c r="F128" s="1" t="s">
        <v>24</v>
      </c>
      <c r="G128" s="1">
        <v>1</v>
      </c>
      <c r="H128" s="11">
        <v>74400</v>
      </c>
      <c r="I128" s="11">
        <v>74400</v>
      </c>
      <c r="J128" s="11">
        <v>45200</v>
      </c>
      <c r="K128" s="11">
        <v>29200</v>
      </c>
      <c r="L128" s="1" t="s">
        <v>31</v>
      </c>
      <c r="M128" s="1" t="s">
        <v>75</v>
      </c>
    </row>
    <row r="129" spans="1:13">
      <c r="A129" s="2" t="s">
        <v>187</v>
      </c>
      <c r="B129" s="7">
        <v>46025</v>
      </c>
      <c r="C129" s="2" t="s">
        <v>38</v>
      </c>
      <c r="D129" s="2" t="s">
        <v>46</v>
      </c>
      <c r="E129" s="2" t="s">
        <v>100</v>
      </c>
      <c r="F129" s="2" t="s">
        <v>60</v>
      </c>
      <c r="G129" s="2">
        <v>1</v>
      </c>
      <c r="H129" s="12">
        <v>302000</v>
      </c>
      <c r="I129" s="12">
        <v>302000</v>
      </c>
      <c r="J129" s="12">
        <v>196900</v>
      </c>
      <c r="K129" s="12">
        <v>105100</v>
      </c>
      <c r="L129" s="2" t="s">
        <v>18</v>
      </c>
      <c r="M129" s="2" t="s">
        <v>32</v>
      </c>
    </row>
    <row r="130" spans="1:13">
      <c r="A130" s="1" t="s">
        <v>188</v>
      </c>
      <c r="B130" s="6">
        <v>46110</v>
      </c>
      <c r="C130" s="1" t="s">
        <v>62</v>
      </c>
      <c r="D130" s="1" t="s">
        <v>41</v>
      </c>
      <c r="E130" s="1" t="s">
        <v>116</v>
      </c>
      <c r="F130" s="1" t="s">
        <v>24</v>
      </c>
      <c r="G130" s="1">
        <v>5</v>
      </c>
      <c r="H130" s="11">
        <v>95200</v>
      </c>
      <c r="I130" s="11">
        <v>476000</v>
      </c>
      <c r="J130" s="11">
        <v>334000</v>
      </c>
      <c r="K130" s="11">
        <v>142000</v>
      </c>
      <c r="L130" s="1" t="s">
        <v>36</v>
      </c>
      <c r="M130" s="1" t="s">
        <v>32</v>
      </c>
    </row>
    <row r="131" spans="1:13">
      <c r="A131" s="2" t="s">
        <v>189</v>
      </c>
      <c r="B131" s="7">
        <v>46144</v>
      </c>
      <c r="C131" s="2" t="s">
        <v>52</v>
      </c>
      <c r="D131" s="2" t="s">
        <v>22</v>
      </c>
      <c r="E131" s="2" t="s">
        <v>86</v>
      </c>
      <c r="F131" s="2" t="s">
        <v>67</v>
      </c>
      <c r="G131" s="2">
        <v>4</v>
      </c>
      <c r="H131" s="12">
        <v>97200</v>
      </c>
      <c r="I131" s="12">
        <v>388800</v>
      </c>
      <c r="J131" s="12">
        <v>276400</v>
      </c>
      <c r="K131" s="12">
        <v>112400</v>
      </c>
      <c r="L131" s="2" t="s">
        <v>50</v>
      </c>
      <c r="M131" s="2" t="s">
        <v>75</v>
      </c>
    </row>
    <row r="132" spans="1:13">
      <c r="A132" s="1" t="s">
        <v>190</v>
      </c>
      <c r="B132" s="6">
        <v>46038</v>
      </c>
      <c r="C132" s="1" t="s">
        <v>62</v>
      </c>
      <c r="D132" s="1" t="s">
        <v>39</v>
      </c>
      <c r="E132" s="1" t="s">
        <v>86</v>
      </c>
      <c r="F132" s="1" t="s">
        <v>67</v>
      </c>
      <c r="G132" s="1">
        <v>4</v>
      </c>
      <c r="H132" s="11">
        <v>89400</v>
      </c>
      <c r="I132" s="11">
        <v>357600</v>
      </c>
      <c r="J132" s="11">
        <v>272400</v>
      </c>
      <c r="K132" s="11">
        <v>85200</v>
      </c>
      <c r="L132" s="1" t="s">
        <v>31</v>
      </c>
      <c r="M132" s="1" t="s">
        <v>19</v>
      </c>
    </row>
    <row r="133" spans="1:13">
      <c r="A133" s="2" t="s">
        <v>191</v>
      </c>
      <c r="B133" s="7">
        <v>46101</v>
      </c>
      <c r="C133" s="2" t="s">
        <v>69</v>
      </c>
      <c r="D133" s="2" t="s">
        <v>39</v>
      </c>
      <c r="E133" s="2" t="s">
        <v>70</v>
      </c>
      <c r="F133" s="2" t="s">
        <v>24</v>
      </c>
      <c r="G133" s="2">
        <v>8</v>
      </c>
      <c r="H133" s="12">
        <v>171100</v>
      </c>
      <c r="I133" s="12">
        <v>1368800</v>
      </c>
      <c r="J133" s="12">
        <v>916000</v>
      </c>
      <c r="K133" s="12">
        <v>452800</v>
      </c>
      <c r="L133" s="2" t="s">
        <v>36</v>
      </c>
      <c r="M133" s="2" t="s">
        <v>19</v>
      </c>
    </row>
    <row r="134" spans="1:13">
      <c r="A134" s="1" t="s">
        <v>192</v>
      </c>
      <c r="B134" s="6">
        <v>46099</v>
      </c>
      <c r="C134" s="1" t="s">
        <v>38</v>
      </c>
      <c r="D134" s="1" t="s">
        <v>55</v>
      </c>
      <c r="E134" s="1" t="s">
        <v>116</v>
      </c>
      <c r="F134" s="1" t="s">
        <v>24</v>
      </c>
      <c r="G134" s="1">
        <v>6</v>
      </c>
      <c r="H134" s="11">
        <v>99400</v>
      </c>
      <c r="I134" s="11">
        <v>596400</v>
      </c>
      <c r="J134" s="11">
        <v>399600</v>
      </c>
      <c r="K134" s="11">
        <v>196800</v>
      </c>
      <c r="L134" s="1" t="s">
        <v>36</v>
      </c>
      <c r="M134" s="1" t="s">
        <v>75</v>
      </c>
    </row>
    <row r="135" spans="1:13">
      <c r="A135" s="2" t="s">
        <v>193</v>
      </c>
      <c r="B135" s="7">
        <v>46078</v>
      </c>
      <c r="C135" s="2" t="s">
        <v>21</v>
      </c>
      <c r="D135" s="2" t="s">
        <v>30</v>
      </c>
      <c r="E135" s="2" t="s">
        <v>82</v>
      </c>
      <c r="F135" s="2" t="s">
        <v>17</v>
      </c>
      <c r="G135" s="2">
        <v>2</v>
      </c>
      <c r="H135" s="12">
        <v>38100</v>
      </c>
      <c r="I135" s="12">
        <v>76200</v>
      </c>
      <c r="J135" s="12">
        <v>42000</v>
      </c>
      <c r="K135" s="12">
        <v>34200</v>
      </c>
      <c r="L135" s="2" t="s">
        <v>18</v>
      </c>
      <c r="M135" s="2" t="s">
        <v>19</v>
      </c>
    </row>
    <row r="136" spans="1:13">
      <c r="A136" s="1" t="s">
        <v>194</v>
      </c>
      <c r="B136" s="6">
        <v>46046</v>
      </c>
      <c r="C136" s="1" t="s">
        <v>69</v>
      </c>
      <c r="D136" s="1" t="s">
        <v>39</v>
      </c>
      <c r="E136" s="1" t="s">
        <v>88</v>
      </c>
      <c r="F136" s="1" t="s">
        <v>60</v>
      </c>
      <c r="G136" s="1">
        <v>1</v>
      </c>
      <c r="H136" s="11">
        <v>211100</v>
      </c>
      <c r="I136" s="11">
        <v>211100</v>
      </c>
      <c r="J136" s="11">
        <v>151300</v>
      </c>
      <c r="K136" s="11">
        <v>59800</v>
      </c>
      <c r="L136" s="1" t="s">
        <v>31</v>
      </c>
      <c r="M136" s="1" t="s">
        <v>19</v>
      </c>
    </row>
    <row r="137" spans="1:13">
      <c r="A137" s="2" t="s">
        <v>195</v>
      </c>
      <c r="B137" s="7">
        <v>46056</v>
      </c>
      <c r="C137" s="2" t="s">
        <v>21</v>
      </c>
      <c r="D137" s="2" t="s">
        <v>34</v>
      </c>
      <c r="E137" s="2" t="s">
        <v>88</v>
      </c>
      <c r="F137" s="2" t="s">
        <v>60</v>
      </c>
      <c r="G137" s="2">
        <v>5</v>
      </c>
      <c r="H137" s="12">
        <v>224200</v>
      </c>
      <c r="I137" s="12">
        <v>1121000</v>
      </c>
      <c r="J137" s="12">
        <v>752500</v>
      </c>
      <c r="K137" s="12">
        <v>368500</v>
      </c>
      <c r="L137" s="2" t="s">
        <v>36</v>
      </c>
      <c r="M137" s="2" t="s">
        <v>32</v>
      </c>
    </row>
    <row r="138" spans="1:13">
      <c r="A138" s="1" t="s">
        <v>196</v>
      </c>
      <c r="B138" s="6">
        <v>46057</v>
      </c>
      <c r="C138" s="1" t="s">
        <v>49</v>
      </c>
      <c r="D138" s="1" t="s">
        <v>15</v>
      </c>
      <c r="E138" s="1" t="s">
        <v>70</v>
      </c>
      <c r="F138" s="1" t="s">
        <v>24</v>
      </c>
      <c r="G138" s="1">
        <v>1</v>
      </c>
      <c r="H138" s="11">
        <v>171100</v>
      </c>
      <c r="I138" s="11">
        <v>171100</v>
      </c>
      <c r="J138" s="11">
        <v>119800</v>
      </c>
      <c r="K138" s="11">
        <v>51300</v>
      </c>
      <c r="L138" s="1" t="s">
        <v>18</v>
      </c>
      <c r="M138" s="1" t="s">
        <v>25</v>
      </c>
    </row>
    <row r="139" spans="1:13">
      <c r="A139" s="2" t="s">
        <v>197</v>
      </c>
      <c r="B139" s="7">
        <v>46148</v>
      </c>
      <c r="C139" s="2" t="s">
        <v>21</v>
      </c>
      <c r="D139" s="2" t="s">
        <v>41</v>
      </c>
      <c r="E139" s="2" t="s">
        <v>73</v>
      </c>
      <c r="F139" s="2" t="s">
        <v>60</v>
      </c>
      <c r="G139" s="2">
        <v>1</v>
      </c>
      <c r="H139" s="12">
        <v>534400</v>
      </c>
      <c r="I139" s="12">
        <v>534400</v>
      </c>
      <c r="J139" s="12">
        <v>401200</v>
      </c>
      <c r="K139" s="12">
        <v>133200</v>
      </c>
      <c r="L139" s="2" t="s">
        <v>18</v>
      </c>
      <c r="M139" s="2" t="s">
        <v>19</v>
      </c>
    </row>
    <row r="140" spans="1:13">
      <c r="A140" s="1" t="s">
        <v>198</v>
      </c>
      <c r="B140" s="6">
        <v>46158</v>
      </c>
      <c r="C140" s="1" t="s">
        <v>62</v>
      </c>
      <c r="D140" s="1" t="s">
        <v>57</v>
      </c>
      <c r="E140" s="1" t="s">
        <v>88</v>
      </c>
      <c r="F140" s="1" t="s">
        <v>60</v>
      </c>
      <c r="G140" s="1">
        <v>5</v>
      </c>
      <c r="H140" s="11">
        <v>218600</v>
      </c>
      <c r="I140" s="11">
        <v>1093000</v>
      </c>
      <c r="J140" s="11">
        <v>727500</v>
      </c>
      <c r="K140" s="11">
        <v>365500</v>
      </c>
      <c r="L140" s="1" t="s">
        <v>36</v>
      </c>
      <c r="M140" s="1" t="s">
        <v>75</v>
      </c>
    </row>
    <row r="141" spans="1:13">
      <c r="A141" s="2" t="s">
        <v>199</v>
      </c>
      <c r="B141" s="7">
        <v>46082</v>
      </c>
      <c r="C141" s="2" t="s">
        <v>45</v>
      </c>
      <c r="D141" s="2" t="s">
        <v>15</v>
      </c>
      <c r="E141" s="2" t="s">
        <v>42</v>
      </c>
      <c r="F141" s="2" t="s">
        <v>43</v>
      </c>
      <c r="G141" s="2">
        <v>2</v>
      </c>
      <c r="H141" s="12">
        <v>65700</v>
      </c>
      <c r="I141" s="12">
        <v>131400</v>
      </c>
      <c r="J141" s="12">
        <v>80600</v>
      </c>
      <c r="K141" s="12">
        <v>50800</v>
      </c>
      <c r="L141" s="2" t="s">
        <v>36</v>
      </c>
      <c r="M141" s="2" t="s">
        <v>25</v>
      </c>
    </row>
    <row r="142" spans="1:13">
      <c r="A142" s="1" t="s">
        <v>200</v>
      </c>
      <c r="B142" s="6">
        <v>46045</v>
      </c>
      <c r="C142" s="1" t="s">
        <v>52</v>
      </c>
      <c r="D142" s="1" t="s">
        <v>46</v>
      </c>
      <c r="E142" s="1" t="s">
        <v>35</v>
      </c>
      <c r="F142" s="1" t="s">
        <v>24</v>
      </c>
      <c r="G142" s="1">
        <v>3</v>
      </c>
      <c r="H142" s="11">
        <v>131400</v>
      </c>
      <c r="I142" s="11">
        <v>394200</v>
      </c>
      <c r="J142" s="11">
        <v>267600</v>
      </c>
      <c r="K142" s="11">
        <v>126600</v>
      </c>
      <c r="L142" s="1" t="s">
        <v>18</v>
      </c>
      <c r="M142" s="1" t="s">
        <v>19</v>
      </c>
    </row>
    <row r="143" spans="1:13">
      <c r="A143" s="2" t="s">
        <v>201</v>
      </c>
      <c r="B143" s="7">
        <v>46024</v>
      </c>
      <c r="C143" s="2" t="s">
        <v>21</v>
      </c>
      <c r="D143" s="2" t="s">
        <v>30</v>
      </c>
      <c r="E143" s="2" t="s">
        <v>73</v>
      </c>
      <c r="F143" s="2" t="s">
        <v>60</v>
      </c>
      <c r="G143" s="2">
        <v>1</v>
      </c>
      <c r="H143" s="12">
        <v>509000</v>
      </c>
      <c r="I143" s="12">
        <v>509000</v>
      </c>
      <c r="J143" s="12">
        <v>408400</v>
      </c>
      <c r="K143" s="12">
        <v>100600</v>
      </c>
      <c r="L143" s="2" t="s">
        <v>50</v>
      </c>
      <c r="M143" s="2" t="s">
        <v>19</v>
      </c>
    </row>
    <row r="144" spans="1:13">
      <c r="A144" s="1" t="s">
        <v>202</v>
      </c>
      <c r="B144" s="6">
        <v>46171</v>
      </c>
      <c r="C144" s="1" t="s">
        <v>69</v>
      </c>
      <c r="D144" s="1" t="s">
        <v>27</v>
      </c>
      <c r="E144" s="1" t="s">
        <v>73</v>
      </c>
      <c r="F144" s="1" t="s">
        <v>60</v>
      </c>
      <c r="G144" s="1">
        <v>3</v>
      </c>
      <c r="H144" s="11">
        <v>547900</v>
      </c>
      <c r="I144" s="11">
        <v>1643700</v>
      </c>
      <c r="J144" s="11">
        <v>1225800</v>
      </c>
      <c r="K144" s="11">
        <v>417900</v>
      </c>
      <c r="L144" s="1" t="s">
        <v>18</v>
      </c>
      <c r="M144" s="1" t="s">
        <v>32</v>
      </c>
    </row>
    <row r="145" spans="1:13">
      <c r="A145" s="2" t="s">
        <v>203</v>
      </c>
      <c r="B145" s="7">
        <v>46155</v>
      </c>
      <c r="C145" s="2" t="s">
        <v>69</v>
      </c>
      <c r="D145" s="2" t="s">
        <v>46</v>
      </c>
      <c r="E145" s="2" t="s">
        <v>28</v>
      </c>
      <c r="F145" s="2" t="s">
        <v>24</v>
      </c>
      <c r="G145" s="2">
        <v>2</v>
      </c>
      <c r="H145" s="12">
        <v>79400</v>
      </c>
      <c r="I145" s="12">
        <v>158800</v>
      </c>
      <c r="J145" s="12">
        <v>95600</v>
      </c>
      <c r="K145" s="12">
        <v>63200</v>
      </c>
      <c r="L145" s="2" t="s">
        <v>18</v>
      </c>
      <c r="M145" s="2" t="s">
        <v>32</v>
      </c>
    </row>
    <row r="146" spans="1:13">
      <c r="A146" s="1" t="s">
        <v>204</v>
      </c>
      <c r="B146" s="6">
        <v>46025</v>
      </c>
      <c r="C146" s="1" t="s">
        <v>14</v>
      </c>
      <c r="D146" s="1" t="s">
        <v>39</v>
      </c>
      <c r="E146" s="1" t="s">
        <v>53</v>
      </c>
      <c r="F146" s="1" t="s">
        <v>17</v>
      </c>
      <c r="G146" s="1">
        <v>2</v>
      </c>
      <c r="H146" s="11">
        <v>26900</v>
      </c>
      <c r="I146" s="11">
        <v>53800</v>
      </c>
      <c r="J146" s="11">
        <v>27800</v>
      </c>
      <c r="K146" s="11">
        <v>26000</v>
      </c>
      <c r="L146" s="1" t="s">
        <v>36</v>
      </c>
      <c r="M146" s="1" t="s">
        <v>25</v>
      </c>
    </row>
    <row r="147" spans="1:13">
      <c r="A147" s="2" t="s">
        <v>205</v>
      </c>
      <c r="B147" s="7">
        <v>46178</v>
      </c>
      <c r="C147" s="2" t="s">
        <v>52</v>
      </c>
      <c r="D147" s="2" t="s">
        <v>34</v>
      </c>
      <c r="E147" s="2" t="s">
        <v>70</v>
      </c>
      <c r="F147" s="2" t="s">
        <v>24</v>
      </c>
      <c r="G147" s="2">
        <v>1</v>
      </c>
      <c r="H147" s="12">
        <v>161000</v>
      </c>
      <c r="I147" s="12">
        <v>161000</v>
      </c>
      <c r="J147" s="12">
        <v>115300</v>
      </c>
      <c r="K147" s="12">
        <v>45700</v>
      </c>
      <c r="L147" s="2" t="s">
        <v>36</v>
      </c>
      <c r="M147" s="2" t="s">
        <v>32</v>
      </c>
    </row>
    <row r="148" spans="1:13">
      <c r="A148" s="1" t="s">
        <v>206</v>
      </c>
      <c r="B148" s="6">
        <v>46040</v>
      </c>
      <c r="C148" s="1" t="s">
        <v>14</v>
      </c>
      <c r="D148" s="1" t="s">
        <v>15</v>
      </c>
      <c r="E148" s="1" t="s">
        <v>16</v>
      </c>
      <c r="F148" s="1" t="s">
        <v>17</v>
      </c>
      <c r="G148" s="1">
        <v>3</v>
      </c>
      <c r="H148" s="11">
        <v>14200</v>
      </c>
      <c r="I148" s="11">
        <v>42600</v>
      </c>
      <c r="J148" s="11">
        <v>21900</v>
      </c>
      <c r="K148" s="11">
        <v>20700</v>
      </c>
      <c r="L148" s="1" t="s">
        <v>36</v>
      </c>
      <c r="M148" s="1" t="s">
        <v>19</v>
      </c>
    </row>
    <row r="149" spans="1:13">
      <c r="A149" s="2" t="s">
        <v>207</v>
      </c>
      <c r="B149" s="7">
        <v>46149</v>
      </c>
      <c r="C149" s="2" t="s">
        <v>49</v>
      </c>
      <c r="D149" s="2" t="s">
        <v>57</v>
      </c>
      <c r="E149" s="2" t="s">
        <v>59</v>
      </c>
      <c r="F149" s="2" t="s">
        <v>60</v>
      </c>
      <c r="G149" s="2">
        <v>1</v>
      </c>
      <c r="H149" s="12">
        <v>732200</v>
      </c>
      <c r="I149" s="12">
        <v>732200</v>
      </c>
      <c r="J149" s="12">
        <v>537700</v>
      </c>
      <c r="K149" s="12">
        <v>194500</v>
      </c>
      <c r="L149" s="2" t="s">
        <v>36</v>
      </c>
      <c r="M149" s="2" t="s">
        <v>19</v>
      </c>
    </row>
    <row r="150" spans="1:13">
      <c r="A150" s="1" t="s">
        <v>208</v>
      </c>
      <c r="B150" s="6">
        <v>46188</v>
      </c>
      <c r="C150" s="1" t="s">
        <v>21</v>
      </c>
      <c r="D150" s="1" t="s">
        <v>27</v>
      </c>
      <c r="E150" s="1" t="s">
        <v>82</v>
      </c>
      <c r="F150" s="1" t="s">
        <v>17</v>
      </c>
      <c r="G150" s="1">
        <v>1</v>
      </c>
      <c r="H150" s="11">
        <v>36600</v>
      </c>
      <c r="I150" s="11">
        <v>36600</v>
      </c>
      <c r="J150" s="11">
        <v>19800</v>
      </c>
      <c r="K150" s="11">
        <v>16800</v>
      </c>
      <c r="L150" s="1" t="s">
        <v>36</v>
      </c>
      <c r="M150" s="1" t="s">
        <v>19</v>
      </c>
    </row>
    <row r="151" spans="1:13">
      <c r="A151" s="2" t="s">
        <v>209</v>
      </c>
      <c r="B151" s="7">
        <v>46129</v>
      </c>
      <c r="C151" s="2" t="s">
        <v>69</v>
      </c>
      <c r="D151" s="2" t="s">
        <v>27</v>
      </c>
      <c r="E151" s="2" t="s">
        <v>16</v>
      </c>
      <c r="F151" s="2" t="s">
        <v>17</v>
      </c>
      <c r="G151" s="2">
        <v>1</v>
      </c>
      <c r="H151" s="12">
        <v>13300</v>
      </c>
      <c r="I151" s="12">
        <v>13300</v>
      </c>
      <c r="J151" s="12">
        <v>7200</v>
      </c>
      <c r="K151" s="12">
        <v>6100</v>
      </c>
      <c r="L151" s="2" t="s">
        <v>36</v>
      </c>
      <c r="M151" s="2" t="s">
        <v>19</v>
      </c>
    </row>
    <row r="152" spans="1:13">
      <c r="A152" s="1" t="s">
        <v>210</v>
      </c>
      <c r="B152" s="6">
        <v>46111</v>
      </c>
      <c r="C152" s="1" t="s">
        <v>14</v>
      </c>
      <c r="D152" s="1" t="s">
        <v>22</v>
      </c>
      <c r="E152" s="1" t="s">
        <v>116</v>
      </c>
      <c r="F152" s="1" t="s">
        <v>24</v>
      </c>
      <c r="G152" s="1">
        <v>2</v>
      </c>
      <c r="H152" s="11">
        <v>97100</v>
      </c>
      <c r="I152" s="11">
        <v>194200</v>
      </c>
      <c r="J152" s="11">
        <v>128400</v>
      </c>
      <c r="K152" s="11">
        <v>65800</v>
      </c>
      <c r="L152" s="1" t="s">
        <v>18</v>
      </c>
      <c r="M152" s="1" t="s">
        <v>75</v>
      </c>
    </row>
    <row r="153" spans="1:13">
      <c r="A153" s="2" t="s">
        <v>211</v>
      </c>
      <c r="B153" s="7">
        <v>46094</v>
      </c>
      <c r="C153" s="2" t="s">
        <v>21</v>
      </c>
      <c r="D153" s="2" t="s">
        <v>41</v>
      </c>
      <c r="E153" s="2" t="s">
        <v>35</v>
      </c>
      <c r="F153" s="2" t="s">
        <v>24</v>
      </c>
      <c r="G153" s="2">
        <v>4</v>
      </c>
      <c r="H153" s="12">
        <v>131700</v>
      </c>
      <c r="I153" s="12">
        <v>526800</v>
      </c>
      <c r="J153" s="12">
        <v>380400</v>
      </c>
      <c r="K153" s="12">
        <v>146400</v>
      </c>
      <c r="L153" s="2" t="s">
        <v>50</v>
      </c>
      <c r="M153" s="2" t="s">
        <v>19</v>
      </c>
    </row>
    <row r="154" spans="1:13">
      <c r="A154" s="1" t="s">
        <v>212</v>
      </c>
      <c r="B154" s="6">
        <v>46117</v>
      </c>
      <c r="C154" s="1" t="s">
        <v>14</v>
      </c>
      <c r="D154" s="1" t="s">
        <v>55</v>
      </c>
      <c r="E154" s="1" t="s">
        <v>86</v>
      </c>
      <c r="F154" s="1" t="s">
        <v>67</v>
      </c>
      <c r="G154" s="1">
        <v>5</v>
      </c>
      <c r="H154" s="11">
        <v>91000</v>
      </c>
      <c r="I154" s="11">
        <v>455000</v>
      </c>
      <c r="J154" s="11">
        <v>349500</v>
      </c>
      <c r="K154" s="11">
        <v>105500</v>
      </c>
      <c r="L154" s="1" t="s">
        <v>36</v>
      </c>
      <c r="M154" s="1" t="s">
        <v>19</v>
      </c>
    </row>
    <row r="155" spans="1:13">
      <c r="A155" s="2" t="s">
        <v>213</v>
      </c>
      <c r="B155" s="7">
        <v>46084</v>
      </c>
      <c r="C155" s="2" t="s">
        <v>14</v>
      </c>
      <c r="D155" s="2" t="s">
        <v>27</v>
      </c>
      <c r="E155" s="2" t="s">
        <v>42</v>
      </c>
      <c r="F155" s="2" t="s">
        <v>43</v>
      </c>
      <c r="G155" s="2">
        <v>1</v>
      </c>
      <c r="H155" s="12">
        <v>61900</v>
      </c>
      <c r="I155" s="12">
        <v>61900</v>
      </c>
      <c r="J155" s="12">
        <v>40500</v>
      </c>
      <c r="K155" s="12">
        <v>21400</v>
      </c>
      <c r="L155" s="2" t="s">
        <v>18</v>
      </c>
      <c r="M155" s="2" t="s">
        <v>19</v>
      </c>
    </row>
    <row r="156" spans="1:13">
      <c r="A156" s="1" t="s">
        <v>214</v>
      </c>
      <c r="B156" s="6">
        <v>46201</v>
      </c>
      <c r="C156" s="1" t="s">
        <v>21</v>
      </c>
      <c r="D156" s="1" t="s">
        <v>30</v>
      </c>
      <c r="E156" s="1" t="s">
        <v>23</v>
      </c>
      <c r="F156" s="1" t="s">
        <v>24</v>
      </c>
      <c r="G156" s="1">
        <v>3</v>
      </c>
      <c r="H156" s="11">
        <v>180100</v>
      </c>
      <c r="I156" s="11">
        <v>540300</v>
      </c>
      <c r="J156" s="11">
        <v>369000</v>
      </c>
      <c r="K156" s="11">
        <v>171300</v>
      </c>
      <c r="L156" s="1" t="s">
        <v>18</v>
      </c>
      <c r="M156" s="1" t="s">
        <v>19</v>
      </c>
    </row>
    <row r="157" spans="1:13">
      <c r="A157" s="2" t="s">
        <v>215</v>
      </c>
      <c r="B157" s="7">
        <v>46142</v>
      </c>
      <c r="C157" s="2" t="s">
        <v>49</v>
      </c>
      <c r="D157" s="2" t="s">
        <v>30</v>
      </c>
      <c r="E157" s="2" t="s">
        <v>53</v>
      </c>
      <c r="F157" s="2" t="s">
        <v>17</v>
      </c>
      <c r="G157" s="2">
        <v>3</v>
      </c>
      <c r="H157" s="12">
        <v>27000</v>
      </c>
      <c r="I157" s="12">
        <v>81000</v>
      </c>
      <c r="J157" s="12">
        <v>43500</v>
      </c>
      <c r="K157" s="12">
        <v>37500</v>
      </c>
      <c r="L157" s="2" t="s">
        <v>36</v>
      </c>
      <c r="M157" s="2" t="s">
        <v>19</v>
      </c>
    </row>
    <row r="158" spans="1:13">
      <c r="A158" s="1" t="s">
        <v>216</v>
      </c>
      <c r="B158" s="6">
        <v>46143</v>
      </c>
      <c r="C158" s="1" t="s">
        <v>52</v>
      </c>
      <c r="D158" s="1" t="s">
        <v>22</v>
      </c>
      <c r="E158" s="1" t="s">
        <v>28</v>
      </c>
      <c r="F158" s="1" t="s">
        <v>24</v>
      </c>
      <c r="G158" s="1">
        <v>2</v>
      </c>
      <c r="H158" s="11">
        <v>78200</v>
      </c>
      <c r="I158" s="11">
        <v>156400</v>
      </c>
      <c r="J158" s="11">
        <v>94400</v>
      </c>
      <c r="K158" s="11">
        <v>62000</v>
      </c>
      <c r="L158" s="1" t="s">
        <v>18</v>
      </c>
      <c r="M158" s="1" t="s">
        <v>19</v>
      </c>
    </row>
    <row r="159" spans="1:13">
      <c r="A159" s="2" t="s">
        <v>217</v>
      </c>
      <c r="B159" s="7">
        <v>46124</v>
      </c>
      <c r="C159" s="2" t="s">
        <v>21</v>
      </c>
      <c r="D159" s="2" t="s">
        <v>46</v>
      </c>
      <c r="E159" s="2" t="s">
        <v>82</v>
      </c>
      <c r="F159" s="2" t="s">
        <v>17</v>
      </c>
      <c r="G159" s="2">
        <v>8</v>
      </c>
      <c r="H159" s="12">
        <v>36800</v>
      </c>
      <c r="I159" s="12">
        <v>294400</v>
      </c>
      <c r="J159" s="12">
        <v>164000</v>
      </c>
      <c r="K159" s="12">
        <v>130400</v>
      </c>
      <c r="L159" s="2" t="s">
        <v>36</v>
      </c>
      <c r="M159" s="2" t="s">
        <v>19</v>
      </c>
    </row>
    <row r="160" spans="1:13">
      <c r="A160" s="1" t="s">
        <v>218</v>
      </c>
      <c r="B160" s="6">
        <v>46180</v>
      </c>
      <c r="C160" s="1" t="s">
        <v>14</v>
      </c>
      <c r="D160" s="1" t="s">
        <v>55</v>
      </c>
      <c r="E160" s="1" t="s">
        <v>70</v>
      </c>
      <c r="F160" s="1" t="s">
        <v>24</v>
      </c>
      <c r="G160" s="1">
        <v>1</v>
      </c>
      <c r="H160" s="11">
        <v>177300</v>
      </c>
      <c r="I160" s="11">
        <v>177300</v>
      </c>
      <c r="J160" s="11">
        <v>117500</v>
      </c>
      <c r="K160" s="11">
        <v>59800</v>
      </c>
      <c r="L160" s="1" t="s">
        <v>18</v>
      </c>
      <c r="M160" s="1" t="s">
        <v>19</v>
      </c>
    </row>
    <row r="161" spans="1:13">
      <c r="A161" s="2" t="s">
        <v>219</v>
      </c>
      <c r="B161" s="7">
        <v>46040</v>
      </c>
      <c r="C161" s="2" t="s">
        <v>62</v>
      </c>
      <c r="D161" s="2" t="s">
        <v>39</v>
      </c>
      <c r="E161" s="2" t="s">
        <v>82</v>
      </c>
      <c r="F161" s="2" t="s">
        <v>17</v>
      </c>
      <c r="G161" s="2">
        <v>2</v>
      </c>
      <c r="H161" s="12">
        <v>38500</v>
      </c>
      <c r="I161" s="12">
        <v>77000</v>
      </c>
      <c r="J161" s="12">
        <v>40800</v>
      </c>
      <c r="K161" s="12">
        <v>36200</v>
      </c>
      <c r="L161" s="2" t="s">
        <v>36</v>
      </c>
      <c r="M161" s="2" t="s">
        <v>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A6380-8B3D-42AB-99FE-E497F37873B3}">
  <dimension ref="A1:Q17"/>
  <sheetViews>
    <sheetView workbookViewId="0">
      <selection activeCell="A18" sqref="A18"/>
    </sheetView>
  </sheetViews>
  <sheetFormatPr defaultRowHeight="14.25"/>
  <cols>
    <col min="1" max="1" width="13.5" bestFit="1" customWidth="1"/>
    <col min="5" max="5" width="9" customWidth="1"/>
  </cols>
  <sheetData>
    <row r="1" spans="1:17" ht="36">
      <c r="A1" s="17"/>
      <c r="B1" s="18"/>
      <c r="C1" s="18" t="s">
        <v>220</v>
      </c>
      <c r="D1" s="18"/>
      <c r="E1" s="18"/>
      <c r="F1" s="18"/>
      <c r="G1" s="18"/>
      <c r="H1" s="17"/>
      <c r="I1" s="17"/>
      <c r="J1" s="17"/>
      <c r="K1" s="17"/>
      <c r="L1" s="17"/>
      <c r="M1" s="17"/>
      <c r="N1" s="17"/>
      <c r="O1" s="17"/>
      <c r="P1" s="17"/>
      <c r="Q1" s="17"/>
    </row>
    <row r="3" spans="1:17">
      <c r="A3" t="s">
        <v>232</v>
      </c>
    </row>
    <row r="4" spans="1:17">
      <c r="A4" s="16"/>
    </row>
    <row r="5" spans="1:17" ht="15">
      <c r="A5" s="10" t="s">
        <v>233</v>
      </c>
      <c r="B5" s="10"/>
    </row>
    <row r="6" spans="1:17">
      <c r="A6" t="s">
        <v>234</v>
      </c>
    </row>
    <row r="7" spans="1:17">
      <c r="A7" t="s">
        <v>235</v>
      </c>
    </row>
    <row r="8" spans="1:17">
      <c r="A8" t="s">
        <v>236</v>
      </c>
    </row>
    <row r="9" spans="1:17">
      <c r="A9" t="s">
        <v>237</v>
      </c>
    </row>
    <row r="10" spans="1:17">
      <c r="A10" t="s">
        <v>238</v>
      </c>
    </row>
    <row r="11" spans="1:17">
      <c r="A11" t="s">
        <v>239</v>
      </c>
    </row>
    <row r="12" spans="1:17">
      <c r="A12" t="s">
        <v>240</v>
      </c>
    </row>
    <row r="13" spans="1:17">
      <c r="A13" t="s">
        <v>241</v>
      </c>
    </row>
    <row r="14" spans="1:17">
      <c r="A14" t="s">
        <v>242</v>
      </c>
    </row>
    <row r="15" spans="1:17">
      <c r="A15" t="s">
        <v>243</v>
      </c>
    </row>
    <row r="16" spans="1:17">
      <c r="A16" t="s">
        <v>244</v>
      </c>
    </row>
    <row r="17" spans="1:1">
      <c r="A17" t="s">
        <v>245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B8DC0-F5E0-415E-B2C0-ECFC67B3A48C}">
  <dimension ref="A1:N34"/>
  <sheetViews>
    <sheetView zoomScale="70" zoomScaleNormal="70" workbookViewId="0">
      <selection activeCell="F37" sqref="F37"/>
    </sheetView>
  </sheetViews>
  <sheetFormatPr defaultRowHeight="14.25"/>
  <cols>
    <col min="1" max="1" width="15.625" bestFit="1" customWidth="1"/>
    <col min="2" max="2" width="30.5" bestFit="1" customWidth="1"/>
    <col min="3" max="3" width="14.375" bestFit="1" customWidth="1"/>
    <col min="4" max="4" width="15.625" bestFit="1" customWidth="1"/>
    <col min="5" max="5" width="22.5" bestFit="1" customWidth="1"/>
    <col min="6" max="6" width="8.75" customWidth="1"/>
    <col min="7" max="7" width="15.625" bestFit="1" customWidth="1"/>
    <col min="8" max="8" width="30.875" bestFit="1" customWidth="1"/>
    <col min="9" max="9" width="19" bestFit="1" customWidth="1"/>
    <col min="10" max="10" width="13" bestFit="1" customWidth="1"/>
    <col min="11" max="11" width="17.5" customWidth="1"/>
    <col min="12" max="12" width="16" bestFit="1" customWidth="1"/>
    <col min="13" max="13" width="13" bestFit="1" customWidth="1"/>
    <col min="14" max="14" width="17.5" bestFit="1" customWidth="1"/>
  </cols>
  <sheetData>
    <row r="1" spans="1:14" ht="26.25">
      <c r="A1" s="19" t="s">
        <v>246</v>
      </c>
      <c r="B1" s="14" t="s">
        <v>12</v>
      </c>
      <c r="C1" t="s">
        <v>19</v>
      </c>
      <c r="D1" s="19"/>
      <c r="E1" s="14" t="s">
        <v>12</v>
      </c>
      <c r="F1" t="s">
        <v>19</v>
      </c>
      <c r="G1" s="14" t="s">
        <v>12</v>
      </c>
      <c r="H1" t="s">
        <v>19</v>
      </c>
      <c r="I1" s="14" t="s">
        <v>12</v>
      </c>
      <c r="J1" t="s">
        <v>19</v>
      </c>
      <c r="K1" s="14" t="s">
        <v>12</v>
      </c>
      <c r="L1" t="s">
        <v>19</v>
      </c>
      <c r="M1" s="14" t="s">
        <v>12</v>
      </c>
      <c r="N1" t="s">
        <v>19</v>
      </c>
    </row>
    <row r="3" spans="1:14" ht="15">
      <c r="A3" s="10"/>
      <c r="B3" t="s">
        <v>254</v>
      </c>
      <c r="E3" t="s">
        <v>223</v>
      </c>
      <c r="F3" s="10"/>
      <c r="G3" t="s">
        <v>251</v>
      </c>
      <c r="H3" s="10"/>
      <c r="I3" t="s">
        <v>252</v>
      </c>
      <c r="K3" t="s">
        <v>253</v>
      </c>
      <c r="L3" s="10"/>
      <c r="M3" t="s">
        <v>255</v>
      </c>
      <c r="N3" t="s">
        <v>256</v>
      </c>
    </row>
    <row r="4" spans="1:14" ht="15">
      <c r="A4" s="20"/>
      <c r="B4" s="21">
        <v>46571100</v>
      </c>
      <c r="C4" s="21"/>
      <c r="E4" s="24">
        <v>315</v>
      </c>
      <c r="F4" s="10"/>
      <c r="G4" s="21">
        <v>13984100</v>
      </c>
      <c r="H4" s="10"/>
      <c r="I4" s="24">
        <v>100</v>
      </c>
      <c r="K4" s="22">
        <v>0.30027420438855856</v>
      </c>
      <c r="L4" s="10"/>
      <c r="M4" s="23">
        <v>465711</v>
      </c>
      <c r="N4" s="23">
        <v>147844.76190476189</v>
      </c>
    </row>
    <row r="7" spans="1:14">
      <c r="A7" s="14" t="s">
        <v>221</v>
      </c>
      <c r="B7" t="s">
        <v>247</v>
      </c>
      <c r="D7" s="14" t="s">
        <v>221</v>
      </c>
      <c r="E7" t="s">
        <v>231</v>
      </c>
      <c r="G7" s="14" t="s">
        <v>221</v>
      </c>
      <c r="H7" t="s">
        <v>257</v>
      </c>
    </row>
    <row r="8" spans="1:14">
      <c r="A8" s="15" t="s">
        <v>21</v>
      </c>
      <c r="B8" s="21">
        <v>27299400</v>
      </c>
      <c r="D8" s="15" t="s">
        <v>225</v>
      </c>
      <c r="E8" s="21">
        <v>9364700</v>
      </c>
      <c r="G8" s="15" t="s">
        <v>36</v>
      </c>
      <c r="H8" s="21">
        <v>16792300</v>
      </c>
    </row>
    <row r="9" spans="1:14">
      <c r="A9" s="15" t="s">
        <v>69</v>
      </c>
      <c r="B9" s="21">
        <v>11116000</v>
      </c>
      <c r="D9" s="15" t="s">
        <v>226</v>
      </c>
      <c r="E9" s="21">
        <v>11286300</v>
      </c>
      <c r="G9" s="15" t="s">
        <v>50</v>
      </c>
      <c r="H9" s="21">
        <v>15269300</v>
      </c>
    </row>
    <row r="10" spans="1:14">
      <c r="A10" s="15" t="s">
        <v>62</v>
      </c>
      <c r="B10" s="21">
        <v>10317900</v>
      </c>
      <c r="D10" s="15" t="s">
        <v>227</v>
      </c>
      <c r="E10" s="21">
        <v>21779000</v>
      </c>
      <c r="G10" s="15" t="s">
        <v>31</v>
      </c>
      <c r="H10" s="21">
        <v>13040200</v>
      </c>
    </row>
    <row r="11" spans="1:14">
      <c r="A11" s="15" t="s">
        <v>52</v>
      </c>
      <c r="B11" s="21">
        <v>9790600</v>
      </c>
      <c r="D11" s="15" t="s">
        <v>228</v>
      </c>
      <c r="E11" s="21">
        <v>8118400</v>
      </c>
      <c r="G11" s="15" t="s">
        <v>18</v>
      </c>
      <c r="H11" s="21">
        <v>31554800</v>
      </c>
    </row>
    <row r="12" spans="1:14">
      <c r="A12" s="15" t="s">
        <v>14</v>
      </c>
      <c r="B12" s="21">
        <v>5949900</v>
      </c>
      <c r="D12" s="15" t="s">
        <v>229</v>
      </c>
      <c r="E12" s="21">
        <v>14650900</v>
      </c>
      <c r="F12" s="21"/>
    </row>
    <row r="13" spans="1:14">
      <c r="A13" s="15" t="s">
        <v>38</v>
      </c>
      <c r="B13" s="21">
        <v>5401900</v>
      </c>
      <c r="D13" s="15" t="s">
        <v>230</v>
      </c>
      <c r="E13" s="21">
        <v>11457300</v>
      </c>
    </row>
    <row r="14" spans="1:14">
      <c r="A14" s="15" t="s">
        <v>49</v>
      </c>
      <c r="B14" s="21">
        <v>5235600</v>
      </c>
      <c r="D14" s="15" t="s">
        <v>222</v>
      </c>
      <c r="E14" s="21">
        <v>76656600</v>
      </c>
    </row>
    <row r="15" spans="1:14">
      <c r="A15" s="15" t="s">
        <v>45</v>
      </c>
      <c r="B15" s="21">
        <v>1545300</v>
      </c>
    </row>
    <row r="16" spans="1:14">
      <c r="A16" s="15" t="s">
        <v>222</v>
      </c>
      <c r="B16" s="21">
        <v>76656600</v>
      </c>
    </row>
    <row r="17" spans="1:5">
      <c r="D17" s="14" t="s">
        <v>221</v>
      </c>
      <c r="E17" t="s">
        <v>248</v>
      </c>
    </row>
    <row r="18" spans="1:5">
      <c r="D18" s="15" t="s">
        <v>30</v>
      </c>
      <c r="E18" s="24">
        <v>22</v>
      </c>
    </row>
    <row r="19" spans="1:5">
      <c r="A19" s="14" t="s">
        <v>221</v>
      </c>
      <c r="B19" t="s">
        <v>224</v>
      </c>
      <c r="D19" s="15" t="s">
        <v>46</v>
      </c>
      <c r="E19" s="24">
        <v>22</v>
      </c>
    </row>
    <row r="20" spans="1:5">
      <c r="A20" s="15" t="s">
        <v>17</v>
      </c>
      <c r="B20" s="21">
        <v>1748800</v>
      </c>
      <c r="D20" s="15" t="s">
        <v>22</v>
      </c>
      <c r="E20" s="24">
        <v>18</v>
      </c>
    </row>
    <row r="21" spans="1:5">
      <c r="A21" s="15" t="s">
        <v>67</v>
      </c>
      <c r="B21" s="21">
        <v>1790200</v>
      </c>
      <c r="D21" s="15" t="s">
        <v>27</v>
      </c>
      <c r="E21" s="24">
        <v>17</v>
      </c>
    </row>
    <row r="22" spans="1:5">
      <c r="A22" s="15" t="s">
        <v>60</v>
      </c>
      <c r="B22" s="21">
        <v>12309500</v>
      </c>
      <c r="D22" s="15" t="s">
        <v>34</v>
      </c>
      <c r="E22" s="24">
        <v>15</v>
      </c>
    </row>
    <row r="23" spans="1:5">
      <c r="A23" s="15" t="s">
        <v>24</v>
      </c>
      <c r="B23" s="21">
        <v>6751600</v>
      </c>
      <c r="D23" s="15" t="s">
        <v>39</v>
      </c>
      <c r="E23" s="24">
        <v>15</v>
      </c>
    </row>
    <row r="24" spans="1:5">
      <c r="A24" s="15" t="s">
        <v>43</v>
      </c>
      <c r="B24" s="21">
        <v>285400</v>
      </c>
      <c r="D24" s="15" t="s">
        <v>15</v>
      </c>
      <c r="E24" s="24">
        <v>14</v>
      </c>
    </row>
    <row r="25" spans="1:5">
      <c r="A25" s="15" t="s">
        <v>222</v>
      </c>
      <c r="B25" s="21">
        <v>22885500</v>
      </c>
      <c r="D25" s="15" t="s">
        <v>55</v>
      </c>
      <c r="E25" s="24">
        <v>13</v>
      </c>
    </row>
    <row r="26" spans="1:5">
      <c r="D26" s="15" t="s">
        <v>57</v>
      </c>
      <c r="E26" s="24">
        <v>12</v>
      </c>
    </row>
    <row r="27" spans="1:5">
      <c r="D27" s="15" t="s">
        <v>41</v>
      </c>
      <c r="E27" s="24">
        <v>12</v>
      </c>
    </row>
    <row r="28" spans="1:5">
      <c r="A28" s="14" t="s">
        <v>221</v>
      </c>
      <c r="B28" t="s">
        <v>249</v>
      </c>
      <c r="D28" s="15" t="s">
        <v>222</v>
      </c>
      <c r="E28" s="24">
        <v>160</v>
      </c>
    </row>
    <row r="29" spans="1:5">
      <c r="A29" s="15" t="s">
        <v>59</v>
      </c>
      <c r="B29" s="21">
        <v>18434500</v>
      </c>
    </row>
    <row r="30" spans="1:5">
      <c r="A30" s="15" t="s">
        <v>73</v>
      </c>
      <c r="B30" s="21">
        <v>12648500</v>
      </c>
    </row>
    <row r="31" spans="1:5">
      <c r="A31" s="15" t="s">
        <v>88</v>
      </c>
      <c r="B31" s="21">
        <v>10536400</v>
      </c>
      <c r="C31" t="s">
        <v>250</v>
      </c>
    </row>
    <row r="32" spans="1:5">
      <c r="A32" s="15" t="s">
        <v>23</v>
      </c>
      <c r="B32" s="21">
        <v>5170200</v>
      </c>
    </row>
    <row r="33" spans="1:2">
      <c r="A33" s="15" t="s">
        <v>70</v>
      </c>
      <c r="B33" s="21">
        <v>4751900</v>
      </c>
    </row>
    <row r="34" spans="1:2">
      <c r="A34" s="15" t="s">
        <v>222</v>
      </c>
      <c r="B34" s="13">
        <v>51541500</v>
      </c>
    </row>
  </sheetData>
  <conditionalFormatting sqref="D17:E17 D18:D28">
    <cfRule type="dataBar" priority="2">
      <dataBar>
        <cfvo type="min"/>
        <cfvo type="max"/>
        <color rgb="FF638EC6"/>
      </dataBar>
      <extLst>
        <ext xmlns:x14="http://schemas.microsoft.com/office/spreadsheetml/2009/9/main" uri="{B025F937-C7B1-47D3-B67F-A62EFF666E3E}">
          <x14:id>{FBA5E77C-9396-4C63-BD89-566F26FE4C9E}</x14:id>
        </ext>
      </extLst>
    </cfRule>
  </conditionalFormatting>
  <conditionalFormatting sqref="G7:H7">
    <cfRule type="dataBar" priority="1">
      <dataBar>
        <cfvo type="min"/>
        <cfvo type="max"/>
        <color rgb="FF638EC6"/>
      </dataBar>
      <extLst>
        <ext xmlns:x14="http://schemas.microsoft.com/office/spreadsheetml/2009/9/main" uri="{B025F937-C7B1-47D3-B67F-A62EFF666E3E}">
          <x14:id>{CF9CCB36-7E6E-4800-A780-BA2BB95C6135}</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FBA5E77C-9396-4C63-BD89-566F26FE4C9E}">
            <x14:dataBar minLength="0" maxLength="100" border="1" negativeBarBorderColorSameAsPositive="0">
              <x14:cfvo type="autoMin"/>
              <x14:cfvo type="autoMax"/>
              <x14:borderColor rgb="FF638EC6"/>
              <x14:negativeFillColor rgb="FFFF0000"/>
              <x14:negativeBorderColor rgb="FFFF0000"/>
              <x14:axisColor rgb="FF000000"/>
            </x14:dataBar>
          </x14:cfRule>
          <xm:sqref>D17:E17 D18:D28</xm:sqref>
        </x14:conditionalFormatting>
        <x14:conditionalFormatting xmlns:xm="http://schemas.microsoft.com/office/excel/2006/main">
          <x14:cfRule type="dataBar" id="{CF9CCB36-7E6E-4800-A780-BA2BB95C6135}">
            <x14:dataBar minLength="0" maxLength="100" border="1" negativeBarBorderColorSameAsPositive="0">
              <x14:cfvo type="autoMin"/>
              <x14:cfvo type="autoMax"/>
              <x14:borderColor rgb="FF638EC6"/>
              <x14:negativeFillColor rgb="FFFF0000"/>
              <x14:negativeBorderColor rgb="FFFF0000"/>
              <x14:axisColor rgb="FF000000"/>
            </x14:dataBar>
          </x14:cfRule>
          <xm:sqref>G7:H7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6E22F-0F1B-4511-8C88-43052F5634C1}">
  <dimension ref="A1:AK34"/>
  <sheetViews>
    <sheetView showGridLines="0" zoomScale="80" zoomScaleNormal="80" workbookViewId="0">
      <selection activeCell="V13" sqref="V13"/>
    </sheetView>
  </sheetViews>
  <sheetFormatPr defaultRowHeight="14.25"/>
  <cols>
    <col min="3" max="3" width="18.5" customWidth="1"/>
    <col min="5" max="5" width="9" customWidth="1"/>
    <col min="21" max="21" width="9" style="26"/>
  </cols>
  <sheetData>
    <row r="1" spans="1:37" ht="33">
      <c r="A1" s="27" t="str">
        <f ca="1">"Retail Sales DashBoard - Updated " &amp; TEXT(TODAY(),"dd mmm yyyy")</f>
        <v>Retail Sales DashBoard - Updated 26 Aug 2026</v>
      </c>
      <c r="B1" s="27"/>
      <c r="C1" s="27"/>
      <c r="D1" s="27"/>
      <c r="E1" s="27"/>
      <c r="F1" s="27"/>
      <c r="G1" s="27"/>
      <c r="H1" s="27"/>
      <c r="I1" s="28"/>
      <c r="J1" s="25"/>
      <c r="K1" s="25"/>
      <c r="L1" s="25"/>
      <c r="M1" s="25"/>
      <c r="N1" s="25"/>
      <c r="O1" s="25"/>
      <c r="P1" s="25"/>
      <c r="Q1" s="25"/>
      <c r="R1" s="25"/>
      <c r="S1" s="25"/>
      <c r="T1" s="25"/>
    </row>
    <row r="2" spans="1:37">
      <c r="A2" s="25"/>
      <c r="B2" s="25"/>
      <c r="C2" s="25"/>
      <c r="D2" s="25"/>
      <c r="E2" s="25"/>
      <c r="F2" s="25"/>
      <c r="G2" s="25"/>
      <c r="H2" s="25"/>
      <c r="I2" s="25"/>
      <c r="J2" s="25"/>
      <c r="K2" s="25"/>
      <c r="L2" s="25"/>
      <c r="M2" s="25"/>
      <c r="N2" s="25"/>
      <c r="O2" s="25"/>
      <c r="P2" s="25"/>
      <c r="Q2" s="25"/>
      <c r="R2" s="25"/>
      <c r="S2" s="25"/>
      <c r="T2" s="25"/>
    </row>
    <row r="3" spans="1:37">
      <c r="A3" s="25"/>
      <c r="B3" s="25"/>
      <c r="C3" s="25"/>
      <c r="D3" s="25"/>
      <c r="E3" s="25"/>
      <c r="F3" s="25"/>
      <c r="G3" s="25"/>
      <c r="H3" s="25"/>
      <c r="I3" s="25"/>
      <c r="J3" s="25"/>
      <c r="K3" s="25"/>
      <c r="L3" s="25"/>
      <c r="M3" s="25"/>
      <c r="N3" s="25"/>
      <c r="O3" s="25"/>
      <c r="P3" s="25"/>
      <c r="Q3" s="25"/>
      <c r="R3" s="25"/>
      <c r="S3" s="25"/>
      <c r="T3" s="25"/>
    </row>
    <row r="4" spans="1:37">
      <c r="A4" s="25"/>
      <c r="B4" s="25"/>
      <c r="C4" s="25"/>
      <c r="D4" s="25"/>
      <c r="E4" s="25"/>
      <c r="F4" s="25"/>
      <c r="G4" s="25"/>
      <c r="H4" s="25"/>
      <c r="I4" s="25"/>
      <c r="J4" s="25"/>
      <c r="K4" s="25"/>
      <c r="L4" s="25"/>
      <c r="M4" s="25"/>
      <c r="N4" s="25"/>
      <c r="O4" s="25"/>
      <c r="P4" s="25"/>
      <c r="Q4" s="25"/>
      <c r="R4" s="25"/>
      <c r="S4" s="25"/>
      <c r="T4" s="25"/>
    </row>
    <row r="5" spans="1:37">
      <c r="A5" s="25"/>
      <c r="B5" s="25"/>
      <c r="C5" s="25"/>
      <c r="D5" s="25"/>
      <c r="E5" s="25"/>
      <c r="F5" s="25"/>
      <c r="G5" s="25"/>
      <c r="H5" s="25"/>
      <c r="I5" s="25"/>
      <c r="J5" s="25"/>
      <c r="K5" s="25"/>
      <c r="L5" s="25"/>
      <c r="M5" s="25"/>
      <c r="N5" s="25"/>
      <c r="O5" s="25"/>
      <c r="P5" s="25"/>
      <c r="Q5" s="25"/>
      <c r="R5" s="25"/>
      <c r="S5" s="25"/>
      <c r="T5" s="25"/>
    </row>
    <row r="6" spans="1:37">
      <c r="A6" s="25"/>
      <c r="B6" s="25"/>
      <c r="C6" s="25"/>
      <c r="D6" s="25"/>
      <c r="E6" s="25"/>
      <c r="F6" s="25"/>
      <c r="G6" s="25"/>
      <c r="H6" s="25"/>
      <c r="I6" s="25"/>
      <c r="J6" s="25"/>
      <c r="K6" s="25"/>
      <c r="L6" s="25"/>
      <c r="M6" s="25"/>
      <c r="N6" s="25"/>
      <c r="O6" s="25"/>
      <c r="P6" s="25"/>
      <c r="Q6" s="25"/>
      <c r="R6" s="25"/>
      <c r="S6" s="25"/>
      <c r="T6" s="25"/>
    </row>
    <row r="7" spans="1:37">
      <c r="A7" s="25"/>
      <c r="B7" s="25"/>
      <c r="C7" s="25"/>
      <c r="D7" s="25"/>
      <c r="E7" s="25"/>
      <c r="F7" s="25"/>
      <c r="G7" s="25"/>
      <c r="H7" s="25"/>
      <c r="I7" s="25"/>
      <c r="J7" s="25"/>
      <c r="K7" s="25"/>
      <c r="L7" s="25"/>
      <c r="M7" s="25"/>
      <c r="N7" s="25"/>
      <c r="O7" s="25"/>
      <c r="P7" s="25"/>
      <c r="Q7" s="25"/>
      <c r="R7" s="25"/>
      <c r="S7" s="25"/>
      <c r="T7" s="25"/>
      <c r="AA7" s="26"/>
    </row>
    <row r="8" spans="1:37">
      <c r="A8" s="25"/>
      <c r="B8" s="25"/>
      <c r="C8" s="25"/>
      <c r="D8" s="25"/>
      <c r="E8" s="25"/>
      <c r="F8" s="25"/>
      <c r="G8" s="25"/>
      <c r="H8" s="25"/>
      <c r="I8" s="25"/>
      <c r="J8" s="25"/>
      <c r="K8" s="25"/>
      <c r="L8" s="25"/>
      <c r="M8" s="25"/>
      <c r="N8" s="25"/>
      <c r="O8" s="25"/>
      <c r="P8" s="25"/>
      <c r="Q8" s="25"/>
      <c r="R8" s="25"/>
      <c r="S8" s="25"/>
      <c r="T8" s="25"/>
    </row>
    <row r="9" spans="1:37">
      <c r="A9" s="25"/>
      <c r="B9" s="25"/>
      <c r="C9" s="25"/>
      <c r="D9" s="25"/>
      <c r="E9" s="25"/>
      <c r="F9" s="25"/>
      <c r="G9" s="25"/>
      <c r="H9" s="25"/>
      <c r="I9" s="25"/>
      <c r="J9" s="25"/>
      <c r="K9" s="25"/>
      <c r="L9" s="25"/>
      <c r="M9" s="25"/>
      <c r="N9" s="25"/>
      <c r="O9" s="25"/>
      <c r="P9" s="25"/>
      <c r="Q9" s="25"/>
      <c r="R9" s="25"/>
      <c r="S9" s="25"/>
      <c r="T9" s="25"/>
    </row>
    <row r="10" spans="1:37">
      <c r="A10" s="25"/>
      <c r="B10" s="25"/>
      <c r="C10" s="25"/>
      <c r="D10" s="25"/>
      <c r="E10" s="25"/>
      <c r="F10" s="25"/>
      <c r="G10" s="25"/>
      <c r="H10" s="25"/>
      <c r="I10" s="25"/>
      <c r="J10" s="25"/>
      <c r="K10" s="25"/>
      <c r="L10" s="25"/>
      <c r="M10" s="25"/>
      <c r="N10" s="25"/>
      <c r="O10" s="25"/>
      <c r="P10" s="25"/>
      <c r="Q10" s="25"/>
      <c r="R10" s="25"/>
      <c r="S10" s="25"/>
      <c r="T10" s="25"/>
    </row>
    <row r="11" spans="1:37">
      <c r="A11" s="25"/>
      <c r="B11" s="25"/>
      <c r="C11" s="25"/>
      <c r="D11" s="25"/>
      <c r="E11" s="25"/>
      <c r="F11" s="25"/>
      <c r="G11" s="25"/>
      <c r="H11" s="25"/>
      <c r="I11" s="25"/>
      <c r="J11" s="25"/>
      <c r="K11" s="25"/>
      <c r="L11" s="25"/>
      <c r="M11" s="25"/>
      <c r="N11" s="25"/>
      <c r="O11" s="25"/>
      <c r="P11" s="25"/>
      <c r="Q11" s="25"/>
      <c r="R11" s="25"/>
      <c r="S11" s="25"/>
      <c r="T11" s="25"/>
    </row>
    <row r="12" spans="1:37">
      <c r="A12" s="25"/>
      <c r="B12" s="25"/>
      <c r="C12" s="25"/>
      <c r="D12" s="25"/>
      <c r="E12" s="25"/>
      <c r="F12" s="25"/>
      <c r="G12" s="25"/>
      <c r="H12" s="25"/>
      <c r="I12" s="25"/>
      <c r="J12" s="25"/>
      <c r="K12" s="25"/>
      <c r="L12" s="25"/>
      <c r="M12" s="25"/>
      <c r="N12" s="25"/>
      <c r="O12" s="25"/>
      <c r="P12" s="25"/>
      <c r="Q12" s="25"/>
      <c r="R12" s="25"/>
      <c r="S12" s="25"/>
      <c r="T12" s="25"/>
      <c r="AK12" s="26"/>
    </row>
    <row r="13" spans="1:37">
      <c r="A13" s="25"/>
      <c r="B13" s="25"/>
      <c r="C13" s="25"/>
      <c r="D13" s="25"/>
      <c r="E13" s="25"/>
      <c r="F13" s="25"/>
      <c r="G13" s="25"/>
      <c r="H13" s="25"/>
      <c r="I13" s="25"/>
      <c r="J13" s="25"/>
      <c r="K13" s="25"/>
      <c r="L13" s="25"/>
      <c r="M13" s="25"/>
      <c r="N13" s="25"/>
      <c r="O13" s="25"/>
      <c r="P13" s="25"/>
      <c r="Q13" s="25"/>
      <c r="R13" s="25"/>
      <c r="S13" s="25"/>
      <c r="T13" s="25"/>
    </row>
    <row r="14" spans="1:37">
      <c r="A14" s="25"/>
      <c r="B14" s="25"/>
      <c r="C14" s="25"/>
      <c r="D14" s="25"/>
      <c r="E14" s="25"/>
      <c r="F14" s="25"/>
      <c r="G14" s="25"/>
      <c r="H14" s="25"/>
      <c r="I14" s="25"/>
      <c r="J14" s="25"/>
      <c r="K14" s="25"/>
      <c r="L14" s="25"/>
      <c r="M14" s="25"/>
      <c r="N14" s="25"/>
      <c r="O14" s="25"/>
      <c r="P14" s="25"/>
      <c r="Q14" s="25"/>
      <c r="R14" s="25"/>
      <c r="S14" s="25"/>
      <c r="T14" s="25"/>
    </row>
    <row r="15" spans="1:37">
      <c r="A15" s="25"/>
      <c r="B15" s="25"/>
      <c r="C15" s="25"/>
      <c r="D15" s="25"/>
      <c r="E15" s="25"/>
      <c r="F15" s="25"/>
      <c r="G15" s="25"/>
      <c r="H15" s="25"/>
      <c r="I15" s="25"/>
      <c r="J15" s="25"/>
      <c r="K15" s="25"/>
      <c r="L15" s="25"/>
      <c r="M15" s="25"/>
      <c r="N15" s="25"/>
      <c r="O15" s="25"/>
      <c r="P15" s="25"/>
      <c r="Q15" s="25"/>
      <c r="R15" s="25"/>
      <c r="S15" s="25"/>
      <c r="T15" s="25"/>
    </row>
    <row r="16" spans="1:37">
      <c r="A16" s="25"/>
      <c r="B16" s="25"/>
      <c r="C16" s="25"/>
      <c r="D16" s="25"/>
      <c r="E16" s="25"/>
      <c r="F16" s="25"/>
      <c r="G16" s="25"/>
      <c r="H16" s="25"/>
      <c r="I16" s="25"/>
      <c r="J16" s="25"/>
      <c r="K16" s="25"/>
      <c r="L16" s="25"/>
      <c r="M16" s="25"/>
      <c r="N16" s="25"/>
      <c r="O16" s="25"/>
      <c r="P16" s="25"/>
      <c r="Q16" s="25"/>
      <c r="R16" s="25"/>
      <c r="S16" s="25"/>
      <c r="T16" s="25"/>
    </row>
    <row r="17" spans="1:20">
      <c r="A17" s="25"/>
      <c r="B17" s="25"/>
      <c r="C17" s="25"/>
      <c r="D17" s="25"/>
      <c r="E17" s="25"/>
      <c r="F17" s="25"/>
      <c r="G17" s="25"/>
      <c r="H17" s="25"/>
      <c r="I17" s="25"/>
      <c r="J17" s="25"/>
      <c r="K17" s="25"/>
      <c r="L17" s="25"/>
      <c r="M17" s="25"/>
      <c r="N17" s="25"/>
      <c r="O17" s="25"/>
      <c r="P17" s="25"/>
      <c r="Q17" s="25"/>
      <c r="R17" s="25"/>
      <c r="S17" s="25"/>
      <c r="T17" s="25"/>
    </row>
    <row r="18" spans="1:20">
      <c r="A18" s="25"/>
      <c r="B18" s="25"/>
      <c r="C18" s="25"/>
      <c r="D18" s="25"/>
      <c r="E18" s="25"/>
      <c r="F18" s="25"/>
      <c r="G18" s="25"/>
      <c r="H18" s="25"/>
      <c r="I18" s="25"/>
      <c r="J18" s="25"/>
      <c r="K18" s="25"/>
      <c r="L18" s="25"/>
      <c r="M18" s="25"/>
      <c r="N18" s="25"/>
      <c r="O18" s="25"/>
      <c r="P18" s="25"/>
      <c r="Q18" s="25"/>
      <c r="R18" s="25"/>
      <c r="S18" s="25"/>
      <c r="T18" s="25"/>
    </row>
    <row r="19" spans="1:20">
      <c r="A19" s="25"/>
      <c r="B19" s="25"/>
      <c r="C19" s="25"/>
      <c r="D19" s="25"/>
      <c r="E19" s="25"/>
      <c r="F19" s="25"/>
      <c r="G19" s="25"/>
      <c r="H19" s="25"/>
      <c r="I19" s="25"/>
      <c r="J19" s="25"/>
      <c r="K19" s="25"/>
      <c r="L19" s="25"/>
      <c r="M19" s="25"/>
      <c r="N19" s="25"/>
      <c r="O19" s="25"/>
      <c r="P19" s="25"/>
      <c r="Q19" s="25"/>
      <c r="R19" s="25"/>
      <c r="S19" s="25"/>
      <c r="T19" s="25"/>
    </row>
    <row r="20" spans="1:20">
      <c r="A20" s="25"/>
      <c r="B20" s="25"/>
      <c r="C20" s="25"/>
      <c r="D20" s="25"/>
      <c r="E20" s="25"/>
      <c r="F20" s="25"/>
      <c r="G20" s="25"/>
      <c r="H20" s="25"/>
      <c r="I20" s="25"/>
      <c r="J20" s="25"/>
      <c r="K20" s="25"/>
      <c r="L20" s="25"/>
      <c r="M20" s="25"/>
      <c r="N20" s="25"/>
      <c r="O20" s="25"/>
      <c r="P20" s="25"/>
      <c r="Q20" s="25"/>
      <c r="R20" s="25"/>
      <c r="S20" s="25"/>
      <c r="T20" s="25"/>
    </row>
    <row r="21" spans="1:20">
      <c r="A21" s="25"/>
      <c r="B21" s="25"/>
      <c r="C21" s="25"/>
      <c r="D21" s="25"/>
      <c r="E21" s="25"/>
      <c r="F21" s="25"/>
      <c r="G21" s="25"/>
      <c r="H21" s="25"/>
      <c r="I21" s="25"/>
      <c r="J21" s="25"/>
      <c r="K21" s="25"/>
      <c r="L21" s="25"/>
      <c r="M21" s="25"/>
      <c r="N21" s="25"/>
      <c r="O21" s="25"/>
      <c r="P21" s="25"/>
      <c r="Q21" s="25"/>
      <c r="R21" s="25"/>
      <c r="S21" s="25"/>
      <c r="T21" s="25"/>
    </row>
    <row r="22" spans="1:20">
      <c r="A22" s="25"/>
      <c r="B22" s="25"/>
      <c r="C22" s="25"/>
      <c r="D22" s="25"/>
      <c r="E22" s="25"/>
      <c r="F22" s="25"/>
      <c r="G22" s="25"/>
      <c r="H22" s="25"/>
      <c r="I22" s="25"/>
      <c r="J22" s="25"/>
      <c r="K22" s="25"/>
      <c r="L22" s="25"/>
      <c r="M22" s="25"/>
      <c r="N22" s="25"/>
      <c r="O22" s="25"/>
      <c r="P22" s="25"/>
      <c r="Q22" s="25"/>
      <c r="R22" s="25"/>
      <c r="S22" s="25"/>
      <c r="T22" s="25"/>
    </row>
    <row r="23" spans="1:20">
      <c r="A23" s="25"/>
      <c r="B23" s="25"/>
      <c r="C23" s="25"/>
      <c r="D23" s="25"/>
      <c r="E23" s="25"/>
      <c r="F23" s="25"/>
      <c r="G23" s="25"/>
      <c r="H23" s="25"/>
      <c r="I23" s="25"/>
      <c r="J23" s="25"/>
      <c r="K23" s="25"/>
      <c r="L23" s="25"/>
      <c r="M23" s="25"/>
      <c r="N23" s="25"/>
      <c r="O23" s="25"/>
      <c r="P23" s="25"/>
      <c r="Q23" s="25"/>
      <c r="R23" s="25"/>
      <c r="S23" s="25"/>
      <c r="T23" s="25"/>
    </row>
    <row r="24" spans="1:20">
      <c r="A24" s="25"/>
      <c r="B24" s="25"/>
      <c r="C24" s="25"/>
      <c r="D24" s="25"/>
      <c r="E24" s="25"/>
      <c r="F24" s="25"/>
      <c r="G24" s="25"/>
      <c r="H24" s="25"/>
      <c r="I24" s="25"/>
      <c r="J24" s="25"/>
      <c r="K24" s="25"/>
      <c r="L24" s="25"/>
      <c r="M24" s="25"/>
      <c r="N24" s="25"/>
      <c r="O24" s="25"/>
      <c r="P24" s="25"/>
      <c r="Q24" s="25"/>
      <c r="R24" s="25"/>
      <c r="S24" s="25"/>
      <c r="T24" s="25"/>
    </row>
    <row r="25" spans="1:20">
      <c r="A25" s="25"/>
      <c r="B25" s="25"/>
      <c r="C25" s="25"/>
      <c r="D25" s="25"/>
      <c r="E25" s="25"/>
      <c r="F25" s="25"/>
      <c r="G25" s="25"/>
      <c r="H25" s="25"/>
      <c r="I25" s="25"/>
      <c r="J25" s="25"/>
      <c r="K25" s="25"/>
      <c r="L25" s="25"/>
      <c r="M25" s="25"/>
      <c r="N25" s="25"/>
      <c r="O25" s="25"/>
      <c r="P25" s="25"/>
      <c r="Q25" s="25"/>
      <c r="R25" s="25"/>
      <c r="S25" s="25"/>
      <c r="T25" s="25"/>
    </row>
    <row r="26" spans="1:20">
      <c r="A26" s="25"/>
      <c r="B26" s="25"/>
      <c r="C26" s="25"/>
      <c r="D26" s="25"/>
      <c r="E26" s="25"/>
      <c r="F26" s="25"/>
      <c r="G26" s="25"/>
      <c r="H26" s="25"/>
      <c r="I26" s="25"/>
      <c r="J26" s="25"/>
      <c r="K26" s="25"/>
      <c r="L26" s="25"/>
      <c r="M26" s="25"/>
      <c r="N26" s="25"/>
      <c r="O26" s="25"/>
      <c r="P26" s="25"/>
      <c r="Q26" s="25"/>
      <c r="R26" s="25"/>
      <c r="S26" s="25"/>
      <c r="T26" s="25"/>
    </row>
    <row r="27" spans="1:20">
      <c r="A27" s="25"/>
      <c r="B27" s="25"/>
      <c r="C27" s="25"/>
      <c r="D27" s="25"/>
      <c r="E27" s="25"/>
      <c r="F27" s="25"/>
      <c r="G27" s="25"/>
      <c r="H27" s="25"/>
      <c r="I27" s="25"/>
      <c r="J27" s="25"/>
      <c r="K27" s="25"/>
      <c r="L27" s="25"/>
      <c r="M27" s="25"/>
      <c r="N27" s="25"/>
      <c r="O27" s="25"/>
      <c r="P27" s="25"/>
      <c r="Q27" s="25"/>
      <c r="R27" s="25"/>
      <c r="S27" s="25"/>
      <c r="T27" s="25"/>
    </row>
    <row r="28" spans="1:20">
      <c r="A28" s="25"/>
      <c r="B28" s="25"/>
      <c r="C28" s="25"/>
      <c r="D28" s="25"/>
      <c r="E28" s="25"/>
      <c r="F28" s="25"/>
      <c r="G28" s="25"/>
      <c r="H28" s="25"/>
      <c r="I28" s="25"/>
      <c r="J28" s="25"/>
      <c r="K28" s="25"/>
      <c r="L28" s="25"/>
      <c r="M28" s="25"/>
      <c r="N28" s="25"/>
      <c r="O28" s="25"/>
      <c r="P28" s="25"/>
      <c r="Q28" s="25"/>
      <c r="R28" s="25"/>
      <c r="S28" s="25"/>
      <c r="T28" s="25"/>
    </row>
    <row r="29" spans="1:20">
      <c r="A29" s="25"/>
      <c r="B29" s="25"/>
      <c r="C29" s="25"/>
      <c r="D29" s="25"/>
      <c r="E29" s="25"/>
      <c r="F29" s="25"/>
      <c r="G29" s="25"/>
      <c r="H29" s="25"/>
      <c r="I29" s="25"/>
      <c r="J29" s="25"/>
      <c r="K29" s="25"/>
      <c r="L29" s="25"/>
      <c r="M29" s="25"/>
      <c r="N29" s="25"/>
      <c r="O29" s="25"/>
      <c r="P29" s="25"/>
      <c r="Q29" s="25"/>
      <c r="R29" s="25"/>
      <c r="S29" s="25"/>
      <c r="T29" s="25"/>
    </row>
    <row r="30" spans="1:20">
      <c r="A30" s="25"/>
      <c r="B30" s="25"/>
      <c r="C30" s="25"/>
      <c r="D30" s="25"/>
      <c r="E30" s="25"/>
      <c r="F30" s="25"/>
      <c r="G30" s="25"/>
      <c r="H30" s="25"/>
      <c r="I30" s="25"/>
      <c r="J30" s="25"/>
      <c r="K30" s="25"/>
      <c r="L30" s="25"/>
      <c r="M30" s="25"/>
      <c r="N30" s="25"/>
      <c r="O30" s="25"/>
      <c r="P30" s="25"/>
      <c r="Q30" s="25"/>
      <c r="R30" s="25"/>
      <c r="S30" s="25"/>
      <c r="T30" s="25"/>
    </row>
    <row r="31" spans="1:20">
      <c r="A31" s="25"/>
      <c r="B31" s="25"/>
      <c r="C31" s="25"/>
      <c r="D31" s="25"/>
      <c r="E31" s="25"/>
      <c r="F31" s="25"/>
      <c r="G31" s="25"/>
      <c r="H31" s="25"/>
      <c r="I31" s="25"/>
      <c r="J31" s="25"/>
      <c r="K31" s="25"/>
      <c r="L31" s="25"/>
      <c r="M31" s="25"/>
      <c r="N31" s="25"/>
      <c r="O31" s="25"/>
      <c r="P31" s="25"/>
      <c r="Q31" s="25"/>
      <c r="R31" s="25"/>
      <c r="S31" s="25"/>
      <c r="T31" s="25"/>
    </row>
    <row r="32" spans="1:20">
      <c r="A32" s="25"/>
      <c r="B32" s="25"/>
      <c r="C32" s="25"/>
      <c r="D32" s="25"/>
      <c r="E32" s="25"/>
      <c r="F32" s="25"/>
      <c r="G32" s="25"/>
      <c r="H32" s="25"/>
      <c r="I32" s="25"/>
      <c r="J32" s="25"/>
      <c r="K32" s="25"/>
      <c r="L32" s="25"/>
      <c r="M32" s="25"/>
      <c r="N32" s="25"/>
      <c r="O32" s="25"/>
      <c r="P32" s="25"/>
      <c r="Q32" s="25"/>
      <c r="R32" s="25"/>
      <c r="S32" s="25"/>
      <c r="T32" s="25"/>
    </row>
    <row r="33" spans="1:20">
      <c r="A33" s="25"/>
      <c r="B33" s="25"/>
      <c r="C33" s="25"/>
      <c r="D33" s="25"/>
      <c r="E33" s="25"/>
      <c r="F33" s="25"/>
      <c r="G33" s="25"/>
      <c r="H33" s="25"/>
      <c r="I33" s="25"/>
      <c r="J33" s="25"/>
      <c r="K33" s="25"/>
      <c r="L33" s="25"/>
      <c r="M33" s="25"/>
      <c r="N33" s="25"/>
      <c r="O33" s="25"/>
      <c r="P33" s="25"/>
      <c r="Q33" s="25"/>
      <c r="R33" s="25"/>
      <c r="S33" s="25"/>
      <c r="T33" s="25"/>
    </row>
    <row r="34" spans="1:20">
      <c r="A34" s="25"/>
      <c r="B34" s="25"/>
      <c r="C34" s="25"/>
      <c r="D34" s="25"/>
      <c r="E34" s="25"/>
      <c r="F34" s="25"/>
      <c r="G34" s="25"/>
      <c r="H34" s="25"/>
      <c r="I34" s="25"/>
      <c r="J34" s="25"/>
      <c r="K34" s="25"/>
      <c r="L34" s="25"/>
      <c r="M34" s="25"/>
      <c r="N34" s="25"/>
      <c r="O34" s="25"/>
      <c r="P34" s="25"/>
      <c r="Q34" s="25"/>
      <c r="R34" s="25"/>
      <c r="S34" s="25"/>
      <c r="T34" s="25"/>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SalesData</vt:lpstr>
      <vt:lpstr>Dashboatd_Plan</vt:lpstr>
      <vt:lpstr>pivot_Summary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ThankGod T Austin</dc:creator>
  <cp:lastModifiedBy>ThankGod Timipere Austin</cp:lastModifiedBy>
  <dcterms:created xsi:type="dcterms:W3CDTF">2026-06-25T05:24:24Z</dcterms:created>
  <dcterms:modified xsi:type="dcterms:W3CDTF">2026-08-26T16:57:19Z</dcterms:modified>
</cp:coreProperties>
</file>